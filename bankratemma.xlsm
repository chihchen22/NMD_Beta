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f0babdcf1f97638/Desktop/"/>
    </mc:Choice>
  </mc:AlternateContent>
  <xr:revisionPtr revIDLastSave="0" documentId="14_{6EC9B4E7-518F-450C-A6AA-CBE79DA0646D}" xr6:coauthVersionLast="47" xr6:coauthVersionMax="47" xr10:uidLastSave="{00000000-0000-0000-0000-000000000000}"/>
  <bookViews>
    <workbookView xWindow="-120" yWindow="-120" windowWidth="29040" windowHeight="15840" xr2:uid="{313B6917-F8A0-4352-8EDB-F3482631D68A}"/>
  </bookViews>
  <sheets>
    <sheet name="bankratemma" sheetId="1" r:id="rId1"/>
    <sheet name="Sheet1" sheetId="2" r:id="rId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" i="1" l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4" i="1"/>
  <c r="K74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K133" i="1" s="1"/>
  <c r="J134" i="1"/>
  <c r="K134" i="1" s="1"/>
  <c r="J135" i="1"/>
  <c r="K135" i="1" s="1"/>
  <c r="J136" i="1"/>
  <c r="K136" i="1" s="1"/>
  <c r="J137" i="1"/>
  <c r="K137" i="1" s="1"/>
  <c r="J2" i="1"/>
</calcChain>
</file>

<file path=xl/sharedStrings.xml><?xml version="1.0" encoding="utf-8"?>
<sst xmlns="http://schemas.openxmlformats.org/spreadsheetml/2006/main" count="51" uniqueCount="49">
  <si>
    <t>EOM_Dt</t>
  </si>
  <si>
    <t>ILMDHYLD</t>
  </si>
  <si>
    <t>FEDL01</t>
  </si>
  <si>
    <t>USOSFRA</t>
  </si>
  <si>
    <t>USOSFRC</t>
  </si>
  <si>
    <t>FHLK3M</t>
  </si>
  <si>
    <t>BVCSUB3M</t>
  </si>
  <si>
    <t>FHLK3MSPRD</t>
  </si>
  <si>
    <t>BVCSUB3MSPRD</t>
  </si>
  <si>
    <t>dynamic beta</t>
  </si>
  <si>
    <t>Parameter</t>
  </si>
  <si>
    <t>Estimate</t>
  </si>
  <si>
    <t>SE</t>
  </si>
  <si>
    <t>z</t>
  </si>
  <si>
    <t>p-value</t>
  </si>
  <si>
    <t>γ₀ (intercept)</t>
  </si>
  <si>
    <t>&lt;0.001</t>
  </si>
  <si>
    <t>βₘᵢₙ</t>
  </si>
  <si>
    <t>βₘₐₓ</t>
  </si>
  <si>
    <t>k (steepness)</t>
  </si>
  <si>
    <t>m (inflection)</t>
  </si>
  <si>
    <t>Static Beta Model</t>
  </si>
  <si>
    <t>Dynamic Beta Model</t>
  </si>
  <si>
    <t>LR Ratio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</si>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</sst>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9.6"/>
      <color theme="1"/>
      <name val="Segoe UI"/>
      <family val="2"/>
    </font>
    <font>
      <sz val="9.6"/>
      <color theme="1"/>
      <name val="Segoe UI"/>
      <family val="2"/>
    </font>
    <font>
      <i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18" fillId="0" borderId="10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right" vertical="top" wrapText="1"/>
    </xf>
    <xf numFmtId="0" fontId="19" fillId="0" borderId="10" xfId="0" applyFont="1" applyBorder="1" applyAlignment="1">
      <alignment vertical="center" wrapText="1"/>
    </xf>
    <xf numFmtId="0" fontId="19" fillId="0" borderId="10" xfId="0" applyFont="1" applyBorder="1" applyAlignment="1">
      <alignment horizontal="right" vertical="center" wrapText="1"/>
    </xf>
    <xf numFmtId="0" fontId="0" fillId="0" borderId="0" xfId="0" applyFill="1" applyBorder="1" applyAlignment="1"/>
    <xf numFmtId="0" fontId="0" fillId="0" borderId="11" xfId="0" applyFill="1" applyBorder="1" applyAlignment="1"/>
    <xf numFmtId="0" fontId="20" fillId="0" borderId="12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Passthrough Ratio: Long Run Beta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bankratemma!$A$2:$A$137</c:f>
              <c:numCache>
                <c:formatCode>m/d/yyyy</c:formatCode>
                <c:ptCount val="136"/>
                <c:pt idx="0">
                  <c:v>41639</c:v>
                </c:pt>
                <c:pt idx="1">
                  <c:v>41670</c:v>
                </c:pt>
                <c:pt idx="2">
                  <c:v>41698</c:v>
                </c:pt>
                <c:pt idx="3">
                  <c:v>41729</c:v>
                </c:pt>
                <c:pt idx="4">
                  <c:v>41759</c:v>
                </c:pt>
                <c:pt idx="5">
                  <c:v>41790</c:v>
                </c:pt>
                <c:pt idx="6">
                  <c:v>41820</c:v>
                </c:pt>
                <c:pt idx="7">
                  <c:v>41851</c:v>
                </c:pt>
                <c:pt idx="8">
                  <c:v>41882</c:v>
                </c:pt>
                <c:pt idx="9">
                  <c:v>41912</c:v>
                </c:pt>
                <c:pt idx="10">
                  <c:v>41943</c:v>
                </c:pt>
                <c:pt idx="11">
                  <c:v>41973</c:v>
                </c:pt>
                <c:pt idx="12">
                  <c:v>42004</c:v>
                </c:pt>
                <c:pt idx="13">
                  <c:v>42035</c:v>
                </c:pt>
                <c:pt idx="14">
                  <c:v>42063</c:v>
                </c:pt>
                <c:pt idx="15">
                  <c:v>42094</c:v>
                </c:pt>
                <c:pt idx="16">
                  <c:v>42124</c:v>
                </c:pt>
                <c:pt idx="17">
                  <c:v>42155</c:v>
                </c:pt>
                <c:pt idx="18">
                  <c:v>42185</c:v>
                </c:pt>
                <c:pt idx="19">
                  <c:v>42216</c:v>
                </c:pt>
                <c:pt idx="20">
                  <c:v>42247</c:v>
                </c:pt>
                <c:pt idx="21">
                  <c:v>42277</c:v>
                </c:pt>
                <c:pt idx="22">
                  <c:v>42308</c:v>
                </c:pt>
                <c:pt idx="23">
                  <c:v>42338</c:v>
                </c:pt>
                <c:pt idx="24">
                  <c:v>42369</c:v>
                </c:pt>
                <c:pt idx="25">
                  <c:v>42400</c:v>
                </c:pt>
                <c:pt idx="26">
                  <c:v>42429</c:v>
                </c:pt>
                <c:pt idx="27">
                  <c:v>42460</c:v>
                </c:pt>
                <c:pt idx="28">
                  <c:v>42490</c:v>
                </c:pt>
                <c:pt idx="29">
                  <c:v>42521</c:v>
                </c:pt>
                <c:pt idx="30">
                  <c:v>42551</c:v>
                </c:pt>
                <c:pt idx="31">
                  <c:v>42582</c:v>
                </c:pt>
                <c:pt idx="32">
                  <c:v>42613</c:v>
                </c:pt>
                <c:pt idx="33">
                  <c:v>42643</c:v>
                </c:pt>
                <c:pt idx="34">
                  <c:v>42674</c:v>
                </c:pt>
                <c:pt idx="35">
                  <c:v>42704</c:v>
                </c:pt>
                <c:pt idx="36">
                  <c:v>42735</c:v>
                </c:pt>
                <c:pt idx="37">
                  <c:v>42766</c:v>
                </c:pt>
                <c:pt idx="38">
                  <c:v>42794</c:v>
                </c:pt>
                <c:pt idx="39">
                  <c:v>42825</c:v>
                </c:pt>
                <c:pt idx="40">
                  <c:v>42855</c:v>
                </c:pt>
                <c:pt idx="41">
                  <c:v>42886</c:v>
                </c:pt>
                <c:pt idx="42">
                  <c:v>42916</c:v>
                </c:pt>
                <c:pt idx="43">
                  <c:v>42947</c:v>
                </c:pt>
                <c:pt idx="44">
                  <c:v>42978</c:v>
                </c:pt>
                <c:pt idx="45">
                  <c:v>43008</c:v>
                </c:pt>
                <c:pt idx="46">
                  <c:v>43039</c:v>
                </c:pt>
                <c:pt idx="47">
                  <c:v>43069</c:v>
                </c:pt>
                <c:pt idx="48">
                  <c:v>43100</c:v>
                </c:pt>
                <c:pt idx="49">
                  <c:v>43131</c:v>
                </c:pt>
                <c:pt idx="50">
                  <c:v>43159</c:v>
                </c:pt>
                <c:pt idx="51">
                  <c:v>43190</c:v>
                </c:pt>
                <c:pt idx="52">
                  <c:v>43220</c:v>
                </c:pt>
                <c:pt idx="53">
                  <c:v>43251</c:v>
                </c:pt>
                <c:pt idx="54">
                  <c:v>43281</c:v>
                </c:pt>
                <c:pt idx="55">
                  <c:v>43312</c:v>
                </c:pt>
                <c:pt idx="56">
                  <c:v>43343</c:v>
                </c:pt>
                <c:pt idx="57">
                  <c:v>43373</c:v>
                </c:pt>
                <c:pt idx="58">
                  <c:v>43404</c:v>
                </c:pt>
                <c:pt idx="59">
                  <c:v>43434</c:v>
                </c:pt>
                <c:pt idx="60">
                  <c:v>43465</c:v>
                </c:pt>
                <c:pt idx="61">
                  <c:v>43496</c:v>
                </c:pt>
                <c:pt idx="62">
                  <c:v>43524</c:v>
                </c:pt>
                <c:pt idx="63">
                  <c:v>43555</c:v>
                </c:pt>
                <c:pt idx="64">
                  <c:v>43585</c:v>
                </c:pt>
                <c:pt idx="65">
                  <c:v>43616</c:v>
                </c:pt>
                <c:pt idx="66">
                  <c:v>43646</c:v>
                </c:pt>
                <c:pt idx="67">
                  <c:v>43677</c:v>
                </c:pt>
                <c:pt idx="68">
                  <c:v>43708</c:v>
                </c:pt>
                <c:pt idx="69">
                  <c:v>43738</c:v>
                </c:pt>
                <c:pt idx="70">
                  <c:v>43769</c:v>
                </c:pt>
                <c:pt idx="71">
                  <c:v>43799</c:v>
                </c:pt>
                <c:pt idx="72">
                  <c:v>43830</c:v>
                </c:pt>
                <c:pt idx="73">
                  <c:v>43861</c:v>
                </c:pt>
                <c:pt idx="74">
                  <c:v>43890</c:v>
                </c:pt>
                <c:pt idx="75">
                  <c:v>43921</c:v>
                </c:pt>
                <c:pt idx="76">
                  <c:v>43951</c:v>
                </c:pt>
                <c:pt idx="77">
                  <c:v>43982</c:v>
                </c:pt>
                <c:pt idx="78">
                  <c:v>44012</c:v>
                </c:pt>
                <c:pt idx="79">
                  <c:v>44043</c:v>
                </c:pt>
                <c:pt idx="80">
                  <c:v>44074</c:v>
                </c:pt>
                <c:pt idx="81">
                  <c:v>44104</c:v>
                </c:pt>
                <c:pt idx="82">
                  <c:v>44135</c:v>
                </c:pt>
                <c:pt idx="83">
                  <c:v>44165</c:v>
                </c:pt>
                <c:pt idx="84">
                  <c:v>44196</c:v>
                </c:pt>
                <c:pt idx="85">
                  <c:v>44227</c:v>
                </c:pt>
                <c:pt idx="86">
                  <c:v>44255</c:v>
                </c:pt>
                <c:pt idx="87">
                  <c:v>44286</c:v>
                </c:pt>
                <c:pt idx="88">
                  <c:v>44316</c:v>
                </c:pt>
                <c:pt idx="89">
                  <c:v>44347</c:v>
                </c:pt>
                <c:pt idx="90">
                  <c:v>44377</c:v>
                </c:pt>
                <c:pt idx="91">
                  <c:v>44408</c:v>
                </c:pt>
                <c:pt idx="92">
                  <c:v>44439</c:v>
                </c:pt>
                <c:pt idx="93">
                  <c:v>44469</c:v>
                </c:pt>
                <c:pt idx="94">
                  <c:v>44500</c:v>
                </c:pt>
                <c:pt idx="95">
                  <c:v>44530</c:v>
                </c:pt>
                <c:pt idx="96">
                  <c:v>44561</c:v>
                </c:pt>
                <c:pt idx="97">
                  <c:v>44592</c:v>
                </c:pt>
                <c:pt idx="98">
                  <c:v>44620</c:v>
                </c:pt>
                <c:pt idx="99">
                  <c:v>44651</c:v>
                </c:pt>
                <c:pt idx="100">
                  <c:v>44681</c:v>
                </c:pt>
                <c:pt idx="101">
                  <c:v>44712</c:v>
                </c:pt>
                <c:pt idx="102">
                  <c:v>44742</c:v>
                </c:pt>
                <c:pt idx="103">
                  <c:v>44773</c:v>
                </c:pt>
                <c:pt idx="104">
                  <c:v>44804</c:v>
                </c:pt>
                <c:pt idx="105">
                  <c:v>44834</c:v>
                </c:pt>
                <c:pt idx="106">
                  <c:v>44865</c:v>
                </c:pt>
                <c:pt idx="107">
                  <c:v>44895</c:v>
                </c:pt>
                <c:pt idx="108">
                  <c:v>44926</c:v>
                </c:pt>
                <c:pt idx="109">
                  <c:v>44957</c:v>
                </c:pt>
                <c:pt idx="110">
                  <c:v>44985</c:v>
                </c:pt>
                <c:pt idx="111">
                  <c:v>45016</c:v>
                </c:pt>
                <c:pt idx="112">
                  <c:v>45046</c:v>
                </c:pt>
                <c:pt idx="113">
                  <c:v>45077</c:v>
                </c:pt>
                <c:pt idx="114">
                  <c:v>45107</c:v>
                </c:pt>
                <c:pt idx="115">
                  <c:v>45138</c:v>
                </c:pt>
                <c:pt idx="116">
                  <c:v>45169</c:v>
                </c:pt>
                <c:pt idx="117">
                  <c:v>45199</c:v>
                </c:pt>
                <c:pt idx="118">
                  <c:v>45230</c:v>
                </c:pt>
                <c:pt idx="119">
                  <c:v>45260</c:v>
                </c:pt>
                <c:pt idx="120">
                  <c:v>45291</c:v>
                </c:pt>
                <c:pt idx="121">
                  <c:v>45322</c:v>
                </c:pt>
                <c:pt idx="122">
                  <c:v>45351</c:v>
                </c:pt>
                <c:pt idx="123">
                  <c:v>45382</c:v>
                </c:pt>
                <c:pt idx="124">
                  <c:v>45412</c:v>
                </c:pt>
                <c:pt idx="125">
                  <c:v>45443</c:v>
                </c:pt>
                <c:pt idx="126">
                  <c:v>45473</c:v>
                </c:pt>
                <c:pt idx="127">
                  <c:v>45504</c:v>
                </c:pt>
                <c:pt idx="128">
                  <c:v>45535</c:v>
                </c:pt>
                <c:pt idx="129">
                  <c:v>45565</c:v>
                </c:pt>
                <c:pt idx="130">
                  <c:v>45596</c:v>
                </c:pt>
                <c:pt idx="131">
                  <c:v>45626</c:v>
                </c:pt>
                <c:pt idx="132">
                  <c:v>45657</c:v>
                </c:pt>
                <c:pt idx="133">
                  <c:v>45688</c:v>
                </c:pt>
                <c:pt idx="134">
                  <c:v>45716</c:v>
                </c:pt>
                <c:pt idx="135">
                  <c:v>45747</c:v>
                </c:pt>
              </c:numCache>
            </c:numRef>
          </c:cat>
          <c:val>
            <c:numRef>
              <c:f>bankratemma!$M$2:$M$137</c:f>
              <c:numCache>
                <c:formatCode>General</c:formatCode>
                <c:ptCount val="136"/>
                <c:pt idx="0">
                  <c:v>5.2104470220120369</c:v>
                </c:pt>
                <c:pt idx="1">
                  <c:v>6.3608696021652182</c:v>
                </c:pt>
                <c:pt idx="2">
                  <c:v>6.7910156303054814</c:v>
                </c:pt>
                <c:pt idx="3">
                  <c:v>5.7650602480512418</c:v>
                </c:pt>
                <c:pt idx="4">
                  <c:v>4.9246231352996137</c:v>
                </c:pt>
                <c:pt idx="5">
                  <c:v>5.3099851087048933</c:v>
                </c:pt>
                <c:pt idx="6">
                  <c:v>4.9651741120442567</c:v>
                </c:pt>
                <c:pt idx="7">
                  <c:v>5.591607201359631</c:v>
                </c:pt>
                <c:pt idx="8">
                  <c:v>5.7700534811604571</c:v>
                </c:pt>
                <c:pt idx="9">
                  <c:v>5.5938416100297994</c:v>
                </c:pt>
                <c:pt idx="10">
                  <c:v>5.5282051055253127</c:v>
                </c:pt>
                <c:pt idx="11">
                  <c:v>5.1789473684210527</c:v>
                </c:pt>
                <c:pt idx="12">
                  <c:v>4.1234326812687119</c:v>
                </c:pt>
                <c:pt idx="13">
                  <c:v>4.1630901287553641</c:v>
                </c:pt>
                <c:pt idx="14">
                  <c:v>4.0902777607349545</c:v>
                </c:pt>
                <c:pt idx="15">
                  <c:v>3.979999984864</c:v>
                </c:pt>
                <c:pt idx="16">
                  <c:v>3.7481751702621344</c:v>
                </c:pt>
                <c:pt idx="17">
                  <c:v>3.7865748674698798</c:v>
                </c:pt>
                <c:pt idx="18">
                  <c:v>3.6077738406847382</c:v>
                </c:pt>
                <c:pt idx="19">
                  <c:v>3.6333333187666668</c:v>
                </c:pt>
                <c:pt idx="20">
                  <c:v>3.140939597220846</c:v>
                </c:pt>
                <c:pt idx="21">
                  <c:v>3.5492957808966472</c:v>
                </c:pt>
                <c:pt idx="22">
                  <c:v>3.9535005286287368</c:v>
                </c:pt>
                <c:pt idx="23">
                  <c:v>4.12747578407956</c:v>
                </c:pt>
                <c:pt idx="24">
                  <c:v>2.0687126991617939</c:v>
                </c:pt>
                <c:pt idx="25">
                  <c:v>1.3630520413116034</c:v>
                </c:pt>
                <c:pt idx="26">
                  <c:v>1.4056531711229947</c:v>
                </c:pt>
                <c:pt idx="27">
                  <c:v>1.5222623338039654</c:v>
                </c:pt>
                <c:pt idx="28">
                  <c:v>1.3896103896458087</c:v>
                </c:pt>
                <c:pt idx="29">
                  <c:v>1.402648068870038</c:v>
                </c:pt>
                <c:pt idx="30">
                  <c:v>1.4571773211304331</c:v>
                </c:pt>
                <c:pt idx="31">
                  <c:v>1.3485040025284449</c:v>
                </c:pt>
                <c:pt idx="32">
                  <c:v>1.2395604402770195</c:v>
                </c:pt>
                <c:pt idx="33">
                  <c:v>1.197499725815742</c:v>
                </c:pt>
                <c:pt idx="34">
                  <c:v>1.2919254658385093</c:v>
                </c:pt>
                <c:pt idx="35">
                  <c:v>1.3378226716049382</c:v>
                </c:pt>
                <c:pt idx="36">
                  <c:v>1.0164848487912079</c:v>
                </c:pt>
                <c:pt idx="37">
                  <c:v>0.88896599541984722</c:v>
                </c:pt>
                <c:pt idx="38">
                  <c:v>0.85385542154958138</c:v>
                </c:pt>
                <c:pt idx="39">
                  <c:v>0.76616915479814851</c:v>
                </c:pt>
                <c:pt idx="40">
                  <c:v>0.77704194260485648</c:v>
                </c:pt>
                <c:pt idx="41">
                  <c:v>0.75792595236025118</c:v>
                </c:pt>
                <c:pt idx="42">
                  <c:v>0.64267015739220401</c:v>
                </c:pt>
                <c:pt idx="43">
                  <c:v>0.59096247771527477</c:v>
                </c:pt>
                <c:pt idx="44">
                  <c:v>0.57954118065532334</c:v>
                </c:pt>
                <c:pt idx="45">
                  <c:v>0.59575345281385284</c:v>
                </c:pt>
                <c:pt idx="46">
                  <c:v>0.62535116313341121</c:v>
                </c:pt>
                <c:pt idx="47">
                  <c:v>0.64068996461293193</c:v>
                </c:pt>
                <c:pt idx="48">
                  <c:v>0.63919907585675773</c:v>
                </c:pt>
                <c:pt idx="49">
                  <c:v>0.57869719426075283</c:v>
                </c:pt>
                <c:pt idx="50">
                  <c:v>0.59167595709123311</c:v>
                </c:pt>
                <c:pt idx="51">
                  <c:v>0.59812801920233327</c:v>
                </c:pt>
                <c:pt idx="52">
                  <c:v>0.66826111441604075</c:v>
                </c:pt>
                <c:pt idx="53">
                  <c:v>0.63368983941176471</c:v>
                </c:pt>
                <c:pt idx="54">
                  <c:v>0.68880753120583671</c:v>
                </c:pt>
                <c:pt idx="55">
                  <c:v>0.64183722041884816</c:v>
                </c:pt>
                <c:pt idx="56">
                  <c:v>0.60127157129407582</c:v>
                </c:pt>
                <c:pt idx="57">
                  <c:v>0.63966153600100706</c:v>
                </c:pt>
                <c:pt idx="58">
                  <c:v>0.56568703606694537</c:v>
                </c:pt>
                <c:pt idx="59">
                  <c:v>0.65670346020918602</c:v>
                </c:pt>
                <c:pt idx="60">
                  <c:v>0.68351292898103222</c:v>
                </c:pt>
                <c:pt idx="61">
                  <c:v>0.55797101458333331</c:v>
                </c:pt>
                <c:pt idx="62">
                  <c:v>0.55500000000000005</c:v>
                </c:pt>
                <c:pt idx="63">
                  <c:v>0.59805863719508245</c:v>
                </c:pt>
                <c:pt idx="64">
                  <c:v>0.52764155768355969</c:v>
                </c:pt>
                <c:pt idx="65">
                  <c:v>0.56659791581687713</c:v>
                </c:pt>
                <c:pt idx="66">
                  <c:v>0.58824181056619651</c:v>
                </c:pt>
                <c:pt idx="67">
                  <c:v>0.55082333974073139</c:v>
                </c:pt>
                <c:pt idx="68">
                  <c:v>0.60663101600000002</c:v>
                </c:pt>
                <c:pt idx="69">
                  <c:v>0.58743692375152257</c:v>
                </c:pt>
                <c:pt idx="70">
                  <c:v>0.64530551420765025</c:v>
                </c:pt>
                <c:pt idx="71">
                  <c:v>0.70019370448473917</c:v>
                </c:pt>
                <c:pt idx="72">
                  <c:v>0.61956066657600362</c:v>
                </c:pt>
                <c:pt idx="73">
                  <c:v>0.56704510582589474</c:v>
                </c:pt>
                <c:pt idx="74">
                  <c:v>0.59953472883363867</c:v>
                </c:pt>
                <c:pt idx="75">
                  <c:v>1.2979651175130562</c:v>
                </c:pt>
                <c:pt idx="76">
                  <c:v>12.205607392855271</c:v>
                </c:pt>
                <c:pt idx="77">
                  <c:v>12.666666660000001</c:v>
                </c:pt>
                <c:pt idx="78">
                  <c:v>7.3372780938762645</c:v>
                </c:pt>
                <c:pt idx="79">
                  <c:v>5.3627906920519193</c:v>
                </c:pt>
                <c:pt idx="80">
                  <c:v>4.8844220997878844</c:v>
                </c:pt>
                <c:pt idx="81">
                  <c:v>4.5555555555555554</c:v>
                </c:pt>
                <c:pt idx="82">
                  <c:v>3.9898989888888892</c:v>
                </c:pt>
                <c:pt idx="83">
                  <c:v>3.8690909208154269</c:v>
                </c:pt>
                <c:pt idx="84">
                  <c:v>3.5072463777777778</c:v>
                </c:pt>
                <c:pt idx="85">
                  <c:v>3.3956496192646299</c:v>
                </c:pt>
                <c:pt idx="86">
                  <c:v>3.6482638736877901</c:v>
                </c:pt>
                <c:pt idx="87">
                  <c:v>3.9500000265937505</c:v>
                </c:pt>
                <c:pt idx="88">
                  <c:v>4.0198675296960653</c:v>
                </c:pt>
                <c:pt idx="89">
                  <c:v>4.529811932773109</c:v>
                </c:pt>
                <c:pt idx="90">
                  <c:v>3.4941176593910037</c:v>
                </c:pt>
                <c:pt idx="91">
                  <c:v>2.739130422873346</c:v>
                </c:pt>
                <c:pt idx="92">
                  <c:v>2.9365853754860205</c:v>
                </c:pt>
                <c:pt idx="93">
                  <c:v>3.6456736034010078</c:v>
                </c:pt>
                <c:pt idx="94">
                  <c:v>3.557951484276729</c:v>
                </c:pt>
                <c:pt idx="95">
                  <c:v>3.5791881132075472</c:v>
                </c:pt>
                <c:pt idx="96">
                  <c:v>3.5191257003672853</c:v>
                </c:pt>
                <c:pt idx="97">
                  <c:v>3.5595238124999997</c:v>
                </c:pt>
                <c:pt idx="98">
                  <c:v>3.6842105250000001</c:v>
                </c:pt>
                <c:pt idx="99">
                  <c:v>1.5228758175829809</c:v>
                </c:pt>
                <c:pt idx="100">
                  <c:v>0.97424242424242424</c:v>
                </c:pt>
                <c:pt idx="101">
                  <c:v>0.47637390782879063</c:v>
                </c:pt>
                <c:pt idx="102">
                  <c:v>0.37144003217466187</c:v>
                </c:pt>
                <c:pt idx="103">
                  <c:v>0.34134899063161073</c:v>
                </c:pt>
                <c:pt idx="104">
                  <c:v>0.34204142575107294</c:v>
                </c:pt>
                <c:pt idx="105">
                  <c:v>0.36469344612403098</c:v>
                </c:pt>
                <c:pt idx="106">
                  <c:v>0.35683364253246752</c:v>
                </c:pt>
                <c:pt idx="107">
                  <c:v>0.37017310252996005</c:v>
                </c:pt>
                <c:pt idx="108">
                  <c:v>0.40756747040829583</c:v>
                </c:pt>
                <c:pt idx="109">
                  <c:v>0.42725173210161665</c:v>
                </c:pt>
                <c:pt idx="110">
                  <c:v>0.43162900621554928</c:v>
                </c:pt>
                <c:pt idx="111">
                  <c:v>0.44356195095927275</c:v>
                </c:pt>
                <c:pt idx="112">
                  <c:v>0.46842650103519673</c:v>
                </c:pt>
                <c:pt idx="113">
                  <c:v>0.48666199285673967</c:v>
                </c:pt>
                <c:pt idx="114">
                  <c:v>0.48860118207213049</c:v>
                </c:pt>
                <c:pt idx="115">
                  <c:v>0.5045925346882939</c:v>
                </c:pt>
                <c:pt idx="116">
                  <c:v>0.50366706472795497</c:v>
                </c:pt>
                <c:pt idx="117">
                  <c:v>0.5078173859287054</c:v>
                </c:pt>
                <c:pt idx="118">
                  <c:v>0.51063164484052537</c:v>
                </c:pt>
                <c:pt idx="119">
                  <c:v>0.51621549174484049</c:v>
                </c:pt>
                <c:pt idx="120">
                  <c:v>0.51782363977485923</c:v>
                </c:pt>
                <c:pt idx="121">
                  <c:v>0.51146096754221393</c:v>
                </c:pt>
                <c:pt idx="122">
                  <c:v>0.52800857673545964</c:v>
                </c:pt>
                <c:pt idx="123">
                  <c:v>0.54435808086303938</c:v>
                </c:pt>
                <c:pt idx="124">
                  <c:v>0.54596622889305813</c:v>
                </c:pt>
                <c:pt idx="125">
                  <c:v>0.54596622889305813</c:v>
                </c:pt>
                <c:pt idx="126">
                  <c:v>0.54596622889305813</c:v>
                </c:pt>
                <c:pt idx="127">
                  <c:v>0.54637409249530955</c:v>
                </c:pt>
                <c:pt idx="128">
                  <c:v>0.54443117861163226</c:v>
                </c:pt>
                <c:pt idx="129">
                  <c:v>0.55834029512670569</c:v>
                </c:pt>
                <c:pt idx="130">
                  <c:v>0.56998829772256732</c:v>
                </c:pt>
                <c:pt idx="131">
                  <c:v>0.56743649077370995</c:v>
                </c:pt>
                <c:pt idx="132">
                  <c:v>0.56980829732587557</c:v>
                </c:pt>
                <c:pt idx="133">
                  <c:v>0.59307159353348726</c:v>
                </c:pt>
                <c:pt idx="134">
                  <c:v>0.57967667436489601</c:v>
                </c:pt>
                <c:pt idx="135">
                  <c:v>0.57621247113163976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0-4BF6-95D5-B7D7738D1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455775"/>
        <c:axId val="428450015"/>
      </c:lineChart>
      <c:dateAx>
        <c:axId val="428455775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450015"/>
        <c:crosses val="autoZero"/>
        <c:auto val="1"/>
        <c:lblOffset val="100"/>
        <c:baseTimeUnit val="months"/>
      </c:dateAx>
      <c:valAx>
        <c:axId val="42845001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455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Liquidity</a:t>
            </a:r>
            <a:r>
              <a:rPr lang="en-US" baseline="0"/>
              <a:t> Premiums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bankratemma!$H$1</c:f>
              <c:strCache>
                <c:ptCount val="1"/>
                <c:pt idx="0">
                  <c:v>FHLK3MSPRD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bankratemma!$H$2:$H$137</c:f>
              <c:numCache>
                <c:formatCode>General</c:formatCode>
                <c:ptCount val="136"/>
                <c:pt idx="0">
                  <c:v>0.22968095199999999</c:v>
                </c:pt>
                <c:pt idx="1">
                  <c:v>0.207799068</c:v>
                </c:pt>
                <c:pt idx="2">
                  <c:v>0.22641302599999999</c:v>
                </c:pt>
                <c:pt idx="3">
                  <c:v>0.21490714299999999</c:v>
                </c:pt>
                <c:pt idx="4">
                  <c:v>0.20050129899999999</c:v>
                </c:pt>
                <c:pt idx="5">
                  <c:v>0.19207381000000001</c:v>
                </c:pt>
                <c:pt idx="6">
                  <c:v>0.20256190499999999</c:v>
                </c:pt>
                <c:pt idx="7">
                  <c:v>0.213636364</c:v>
                </c:pt>
                <c:pt idx="8">
                  <c:v>0.21240714299999999</c:v>
                </c:pt>
                <c:pt idx="9">
                  <c:v>0.18971666700000001</c:v>
                </c:pt>
                <c:pt idx="10">
                  <c:v>0.19054505899999999</c:v>
                </c:pt>
                <c:pt idx="11">
                  <c:v>0.20451944399999999</c:v>
                </c:pt>
                <c:pt idx="12">
                  <c:v>0.217952273</c:v>
                </c:pt>
                <c:pt idx="13">
                  <c:v>0.19697381</c:v>
                </c:pt>
                <c:pt idx="14">
                  <c:v>0.171625</c:v>
                </c:pt>
                <c:pt idx="15">
                  <c:v>0.17755000000000001</c:v>
                </c:pt>
                <c:pt idx="16">
                  <c:v>0.17763863599999999</c:v>
                </c:pt>
                <c:pt idx="17">
                  <c:v>0.17820476199999999</c:v>
                </c:pt>
                <c:pt idx="18">
                  <c:v>0.17197499999999999</c:v>
                </c:pt>
                <c:pt idx="19">
                  <c:v>0.16249565199999999</c:v>
                </c:pt>
                <c:pt idx="20">
                  <c:v>0.19887142899999999</c:v>
                </c:pt>
                <c:pt idx="21">
                  <c:v>0.23503051899999999</c:v>
                </c:pt>
                <c:pt idx="22">
                  <c:v>0.21270259699999999</c:v>
                </c:pt>
                <c:pt idx="23">
                  <c:v>0.20079248099999999</c:v>
                </c:pt>
                <c:pt idx="24">
                  <c:v>0.29904999999999998</c:v>
                </c:pt>
                <c:pt idx="25">
                  <c:v>0.231267105</c:v>
                </c:pt>
                <c:pt idx="26">
                  <c:v>0.233585714</c:v>
                </c:pt>
                <c:pt idx="27">
                  <c:v>0.21349565200000001</c:v>
                </c:pt>
                <c:pt idx="28">
                  <c:v>0.236680952</c:v>
                </c:pt>
                <c:pt idx="29">
                  <c:v>0.21475714300000001</c:v>
                </c:pt>
                <c:pt idx="30">
                  <c:v>0.23768409099999999</c:v>
                </c:pt>
                <c:pt idx="31">
                  <c:v>0.221733333</c:v>
                </c:pt>
                <c:pt idx="32">
                  <c:v>0.192117391</c:v>
                </c:pt>
                <c:pt idx="33">
                  <c:v>0.18245</c:v>
                </c:pt>
                <c:pt idx="34">
                  <c:v>0.14369285700000001</c:v>
                </c:pt>
                <c:pt idx="35">
                  <c:v>0.142854545</c:v>
                </c:pt>
                <c:pt idx="36">
                  <c:v>0.115190476</c:v>
                </c:pt>
                <c:pt idx="37">
                  <c:v>0.10031818200000001</c:v>
                </c:pt>
                <c:pt idx="38">
                  <c:v>8.0220395E-2</c:v>
                </c:pt>
                <c:pt idx="39">
                  <c:v>0.12851304299999999</c:v>
                </c:pt>
                <c:pt idx="40">
                  <c:v>0.17238249999999999</c:v>
                </c:pt>
                <c:pt idx="41">
                  <c:v>0.13402529599999999</c:v>
                </c:pt>
                <c:pt idx="42">
                  <c:v>0.14959545499999999</c:v>
                </c:pt>
                <c:pt idx="43">
                  <c:v>0.17496666699999999</c:v>
                </c:pt>
                <c:pt idx="44">
                  <c:v>0.19447070399999999</c:v>
                </c:pt>
                <c:pt idx="45">
                  <c:v>0.180416667</c:v>
                </c:pt>
                <c:pt idx="46">
                  <c:v>0.13341688299999999</c:v>
                </c:pt>
                <c:pt idx="47">
                  <c:v>0.146788961</c:v>
                </c:pt>
                <c:pt idx="48">
                  <c:v>0.182395</c:v>
                </c:pt>
                <c:pt idx="49">
                  <c:v>0.19043212600000001</c:v>
                </c:pt>
                <c:pt idx="50">
                  <c:v>0.20749166699999999</c:v>
                </c:pt>
                <c:pt idx="51">
                  <c:v>0.25699318199999999</c:v>
                </c:pt>
                <c:pt idx="52">
                  <c:v>0.239341729</c:v>
                </c:pt>
                <c:pt idx="53">
                  <c:v>0.28716284600000003</c:v>
                </c:pt>
                <c:pt idx="54">
                  <c:v>0.30601428600000002</c:v>
                </c:pt>
                <c:pt idx="55">
                  <c:v>0.26982694800000001</c:v>
                </c:pt>
                <c:pt idx="56">
                  <c:v>0.25382173899999999</c:v>
                </c:pt>
                <c:pt idx="57">
                  <c:v>0.227106579</c:v>
                </c:pt>
                <c:pt idx="58">
                  <c:v>0.26776640299999999</c:v>
                </c:pt>
                <c:pt idx="59">
                  <c:v>0.29158863600000001</c:v>
                </c:pt>
                <c:pt idx="60">
                  <c:v>0.30954999999999999</c:v>
                </c:pt>
                <c:pt idx="61">
                  <c:v>0.32695776399999998</c:v>
                </c:pt>
                <c:pt idx="62">
                  <c:v>0.30330236799999999</c:v>
                </c:pt>
                <c:pt idx="63">
                  <c:v>0.29281428599999998</c:v>
                </c:pt>
                <c:pt idx="64">
                  <c:v>0.28071363599999999</c:v>
                </c:pt>
                <c:pt idx="65">
                  <c:v>0.28935138300000002</c:v>
                </c:pt>
                <c:pt idx="66">
                  <c:v>0.36152499999999999</c:v>
                </c:pt>
                <c:pt idx="67">
                  <c:v>0.42196047399999997</c:v>
                </c:pt>
                <c:pt idx="68">
                  <c:v>0.38264545500000002</c:v>
                </c:pt>
                <c:pt idx="69">
                  <c:v>0.37778571399999999</c:v>
                </c:pt>
                <c:pt idx="70">
                  <c:v>0.42619455499999997</c:v>
                </c:pt>
                <c:pt idx="71">
                  <c:v>0.26176666700000001</c:v>
                </c:pt>
                <c:pt idx="72">
                  <c:v>0.29318008699999998</c:v>
                </c:pt>
                <c:pt idx="73">
                  <c:v>0.26635797100000003</c:v>
                </c:pt>
                <c:pt idx="74">
                  <c:v>0.320047368</c:v>
                </c:pt>
                <c:pt idx="75">
                  <c:v>0.595227273</c:v>
                </c:pt>
                <c:pt idx="76">
                  <c:v>0.441393182</c:v>
                </c:pt>
                <c:pt idx="77">
                  <c:v>0.37798095199999998</c:v>
                </c:pt>
                <c:pt idx="78">
                  <c:v>0.376656818</c:v>
                </c:pt>
                <c:pt idx="79">
                  <c:v>0.35347391299999997</c:v>
                </c:pt>
                <c:pt idx="80">
                  <c:v>0.33191904799999999</c:v>
                </c:pt>
                <c:pt idx="81">
                  <c:v>0.32737770599999999</c:v>
                </c:pt>
                <c:pt idx="82">
                  <c:v>0.32417456700000002</c:v>
                </c:pt>
                <c:pt idx="83">
                  <c:v>0.28097669199999997</c:v>
                </c:pt>
                <c:pt idx="84">
                  <c:v>0.27253181799999998</c:v>
                </c:pt>
                <c:pt idx="85">
                  <c:v>0.24810701800000001</c:v>
                </c:pt>
                <c:pt idx="86">
                  <c:v>0.241392368</c:v>
                </c:pt>
                <c:pt idx="87">
                  <c:v>0.23363304300000001</c:v>
                </c:pt>
                <c:pt idx="88">
                  <c:v>0.23164818200000001</c:v>
                </c:pt>
                <c:pt idx="89">
                  <c:v>0.22403049999999999</c:v>
                </c:pt>
                <c:pt idx="90">
                  <c:v>0.21357409099999999</c:v>
                </c:pt>
                <c:pt idx="91">
                  <c:v>0.212184762</c:v>
                </c:pt>
                <c:pt idx="92">
                  <c:v>0.20969863599999999</c:v>
                </c:pt>
                <c:pt idx="93">
                  <c:v>0.204759048</c:v>
                </c:pt>
                <c:pt idx="94">
                  <c:v>0.208918095</c:v>
                </c:pt>
                <c:pt idx="95">
                  <c:v>0.21880954499999999</c:v>
                </c:pt>
                <c:pt idx="96">
                  <c:v>0.206602174</c:v>
                </c:pt>
                <c:pt idx="97">
                  <c:v>0.199602381</c:v>
                </c:pt>
                <c:pt idx="98">
                  <c:v>0.22531999999999999</c:v>
                </c:pt>
                <c:pt idx="99">
                  <c:v>0.168678261</c:v>
                </c:pt>
                <c:pt idx="100">
                  <c:v>0.131283333</c:v>
                </c:pt>
                <c:pt idx="101">
                  <c:v>2.3752380999999999E-2</c:v>
                </c:pt>
                <c:pt idx="102">
                  <c:v>5.2496212E-2</c:v>
                </c:pt>
                <c:pt idx="103">
                  <c:v>0.169771429</c:v>
                </c:pt>
                <c:pt idx="104">
                  <c:v>0.14672608700000001</c:v>
                </c:pt>
                <c:pt idx="105">
                  <c:v>0.187844762</c:v>
                </c:pt>
                <c:pt idx="106">
                  <c:v>0.211024762</c:v>
                </c:pt>
                <c:pt idx="107">
                  <c:v>0.20828545500000001</c:v>
                </c:pt>
                <c:pt idx="108">
                  <c:v>0.19861095200000001</c:v>
                </c:pt>
                <c:pt idx="109">
                  <c:v>0.2374725</c:v>
                </c:pt>
                <c:pt idx="110">
                  <c:v>0.20908421099999999</c:v>
                </c:pt>
                <c:pt idx="111">
                  <c:v>0.218081739</c:v>
                </c:pt>
                <c:pt idx="112">
                  <c:v>0.12532499999999999</c:v>
                </c:pt>
                <c:pt idx="113">
                  <c:v>0.20449863600000001</c:v>
                </c:pt>
                <c:pt idx="114">
                  <c:v>0.24235238100000001</c:v>
                </c:pt>
                <c:pt idx="115">
                  <c:v>0.21945666699999999</c:v>
                </c:pt>
                <c:pt idx="116">
                  <c:v>0.2069</c:v>
                </c:pt>
                <c:pt idx="117">
                  <c:v>0.2233395</c:v>
                </c:pt>
                <c:pt idx="118">
                  <c:v>0.24249238100000001</c:v>
                </c:pt>
                <c:pt idx="119">
                  <c:v>0.20072337700000001</c:v>
                </c:pt>
                <c:pt idx="120">
                  <c:v>0.18492149999999999</c:v>
                </c:pt>
                <c:pt idx="121">
                  <c:v>0.20841095200000001</c:v>
                </c:pt>
                <c:pt idx="122">
                  <c:v>0.21148600000000001</c:v>
                </c:pt>
                <c:pt idx="123">
                  <c:v>0.20906190499999999</c:v>
                </c:pt>
                <c:pt idx="124">
                  <c:v>0.22069545500000001</c:v>
                </c:pt>
                <c:pt idx="125">
                  <c:v>0.214495455</c:v>
                </c:pt>
                <c:pt idx="126">
                  <c:v>0.199408</c:v>
                </c:pt>
                <c:pt idx="127">
                  <c:v>0.241847747</c:v>
                </c:pt>
                <c:pt idx="128">
                  <c:v>0.27903727299999997</c:v>
                </c:pt>
                <c:pt idx="129">
                  <c:v>0.28749200000000003</c:v>
                </c:pt>
                <c:pt idx="130">
                  <c:v>0.19225968399999999</c:v>
                </c:pt>
                <c:pt idx="131">
                  <c:v>0.18499686700000001</c:v>
                </c:pt>
                <c:pt idx="132">
                  <c:v>0.207882857</c:v>
                </c:pt>
                <c:pt idx="133">
                  <c:v>0.19160142899999999</c:v>
                </c:pt>
                <c:pt idx="134">
                  <c:v>0.182244184</c:v>
                </c:pt>
                <c:pt idx="135">
                  <c:v>0.183355238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98-419E-813B-47A343E60E5E}"/>
            </c:ext>
          </c:extLst>
        </c:ser>
        <c:ser>
          <c:idx val="1"/>
          <c:order val="1"/>
          <c:tx>
            <c:strRef>
              <c:f>bankratemma!$I$1</c:f>
              <c:strCache>
                <c:ptCount val="1"/>
                <c:pt idx="0">
                  <c:v>BVCSUB3MSPRD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bankratemma!$I$2:$I$137</c:f>
              <c:numCache>
                <c:formatCode>General</c:formatCode>
                <c:ptCount val="136"/>
                <c:pt idx="0">
                  <c:v>0.50949999999999995</c:v>
                </c:pt>
                <c:pt idx="1">
                  <c:v>0.53162763999999996</c:v>
                </c:pt>
                <c:pt idx="2">
                  <c:v>0.46341302600000001</c:v>
                </c:pt>
                <c:pt idx="3">
                  <c:v>0.48361190500000001</c:v>
                </c:pt>
                <c:pt idx="4">
                  <c:v>0.46725238099999999</c:v>
                </c:pt>
                <c:pt idx="5">
                  <c:v>0.47100714300000002</c:v>
                </c:pt>
                <c:pt idx="6">
                  <c:v>0.51448095199999999</c:v>
                </c:pt>
                <c:pt idx="7">
                  <c:v>0.51888181799999999</c:v>
                </c:pt>
                <c:pt idx="8">
                  <c:v>0.45827381</c:v>
                </c:pt>
                <c:pt idx="9">
                  <c:v>0.44275476200000002</c:v>
                </c:pt>
                <c:pt idx="10">
                  <c:v>0.45664505900000002</c:v>
                </c:pt>
                <c:pt idx="11">
                  <c:v>0.48656944400000002</c:v>
                </c:pt>
                <c:pt idx="12">
                  <c:v>0.57365227299999999</c:v>
                </c:pt>
                <c:pt idx="13">
                  <c:v>0.59384380999999997</c:v>
                </c:pt>
                <c:pt idx="14">
                  <c:v>0.63806184200000005</c:v>
                </c:pt>
                <c:pt idx="15">
                  <c:v>0.65052727300000002</c:v>
                </c:pt>
                <c:pt idx="16">
                  <c:v>0.62078409099999998</c:v>
                </c:pt>
                <c:pt idx="17">
                  <c:v>0.65526976199999998</c:v>
                </c:pt>
                <c:pt idx="18">
                  <c:v>0.92986590899999999</c:v>
                </c:pt>
                <c:pt idx="19">
                  <c:v>0.95562826099999998</c:v>
                </c:pt>
                <c:pt idx="20">
                  <c:v>0.99599047600000001</c:v>
                </c:pt>
                <c:pt idx="21">
                  <c:v>0.97058290000000003</c:v>
                </c:pt>
                <c:pt idx="22">
                  <c:v>0.957088312</c:v>
                </c:pt>
                <c:pt idx="23">
                  <c:v>0.96347669199999997</c:v>
                </c:pt>
                <c:pt idx="24">
                  <c:v>0.88205</c:v>
                </c:pt>
                <c:pt idx="25">
                  <c:v>0.88103026299999998</c:v>
                </c:pt>
                <c:pt idx="26">
                  <c:v>0.91074571400000004</c:v>
                </c:pt>
                <c:pt idx="27">
                  <c:v>1.010729051</c:v>
                </c:pt>
                <c:pt idx="28">
                  <c:v>0.86250952400000003</c:v>
                </c:pt>
                <c:pt idx="29">
                  <c:v>0.85428095199999998</c:v>
                </c:pt>
                <c:pt idx="30">
                  <c:v>0.84650227300000003</c:v>
                </c:pt>
                <c:pt idx="31">
                  <c:v>0.81286833300000005</c:v>
                </c:pt>
                <c:pt idx="32">
                  <c:v>0.76183913000000003</c:v>
                </c:pt>
                <c:pt idx="33">
                  <c:v>0.79116428599999999</c:v>
                </c:pt>
                <c:pt idx="34">
                  <c:v>0.79097285699999997</c:v>
                </c:pt>
                <c:pt idx="35">
                  <c:v>0.74387954499999998</c:v>
                </c:pt>
                <c:pt idx="36">
                  <c:v>0.76766666699999997</c:v>
                </c:pt>
                <c:pt idx="37">
                  <c:v>0.73357818200000002</c:v>
                </c:pt>
                <c:pt idx="38">
                  <c:v>0.65606249999999999</c:v>
                </c:pt>
                <c:pt idx="39">
                  <c:v>0.55940434800000005</c:v>
                </c:pt>
                <c:pt idx="40">
                  <c:v>0.505593026</c:v>
                </c:pt>
                <c:pt idx="41">
                  <c:v>0.43103438700000002</c:v>
                </c:pt>
                <c:pt idx="42">
                  <c:v>0.37787272700000002</c:v>
                </c:pt>
                <c:pt idx="43">
                  <c:v>0.352261667</c:v>
                </c:pt>
                <c:pt idx="44">
                  <c:v>0.36258043499999998</c:v>
                </c:pt>
                <c:pt idx="45">
                  <c:v>0.375021667</c:v>
                </c:pt>
                <c:pt idx="46">
                  <c:v>0.33639045499999998</c:v>
                </c:pt>
                <c:pt idx="47">
                  <c:v>0.42031753199999999</c:v>
                </c:pt>
                <c:pt idx="48">
                  <c:v>0.5292</c:v>
                </c:pt>
                <c:pt idx="49">
                  <c:v>0.57579720499999998</c:v>
                </c:pt>
                <c:pt idx="50">
                  <c:v>0.72787236799999999</c:v>
                </c:pt>
                <c:pt idx="51">
                  <c:v>0.90604080099999995</c:v>
                </c:pt>
                <c:pt idx="52">
                  <c:v>0.91120714300000005</c:v>
                </c:pt>
                <c:pt idx="53">
                  <c:v>0.80166739099999995</c:v>
                </c:pt>
                <c:pt idx="54">
                  <c:v>0.800214286</c:v>
                </c:pt>
                <c:pt idx="55">
                  <c:v>0.77908885299999997</c:v>
                </c:pt>
                <c:pt idx="56">
                  <c:v>0.65545652200000004</c:v>
                </c:pt>
                <c:pt idx="57">
                  <c:v>0.645901316</c:v>
                </c:pt>
                <c:pt idx="58">
                  <c:v>0.64606185800000004</c:v>
                </c:pt>
                <c:pt idx="59">
                  <c:v>0.73319363599999998</c:v>
                </c:pt>
                <c:pt idx="60">
                  <c:v>0.72345526299999996</c:v>
                </c:pt>
                <c:pt idx="61">
                  <c:v>0.64769585900000004</c:v>
                </c:pt>
                <c:pt idx="62">
                  <c:v>0.46440236800000001</c:v>
                </c:pt>
                <c:pt idx="63">
                  <c:v>0.29560952400000001</c:v>
                </c:pt>
                <c:pt idx="64">
                  <c:v>0.25092922099999998</c:v>
                </c:pt>
                <c:pt idx="65">
                  <c:v>0.239805929</c:v>
                </c:pt>
                <c:pt idx="66">
                  <c:v>0.16714999999999999</c:v>
                </c:pt>
                <c:pt idx="67">
                  <c:v>0.26660138300000003</c:v>
                </c:pt>
                <c:pt idx="68">
                  <c:v>0.282113636</c:v>
                </c:pt>
                <c:pt idx="69">
                  <c:v>0.39509571399999999</c:v>
                </c:pt>
                <c:pt idx="70">
                  <c:v>0.44497853799999998</c:v>
                </c:pt>
                <c:pt idx="71">
                  <c:v>0.54328771899999995</c:v>
                </c:pt>
                <c:pt idx="72">
                  <c:v>0.56038008699999997</c:v>
                </c:pt>
                <c:pt idx="73">
                  <c:v>0.4588294</c:v>
                </c:pt>
                <c:pt idx="74">
                  <c:v>0.35521052600000003</c:v>
                </c:pt>
                <c:pt idx="75">
                  <c:v>2.1157590910000001</c:v>
                </c:pt>
                <c:pt idx="76">
                  <c:v>2.4633719699999999</c:v>
                </c:pt>
                <c:pt idx="77">
                  <c:v>1.6862659520000001</c:v>
                </c:pt>
                <c:pt idx="78">
                  <c:v>1.0735386360000001</c:v>
                </c:pt>
                <c:pt idx="79">
                  <c:v>0.74129565200000003</c:v>
                </c:pt>
                <c:pt idx="80">
                  <c:v>0.61839047599999997</c:v>
                </c:pt>
                <c:pt idx="81">
                  <c:v>0.54879199099999998</c:v>
                </c:pt>
                <c:pt idx="82">
                  <c:v>0.50554123399999995</c:v>
                </c:pt>
                <c:pt idx="83">
                  <c:v>0.445360902</c:v>
                </c:pt>
                <c:pt idx="84">
                  <c:v>0.38408636400000001</c:v>
                </c:pt>
                <c:pt idx="85">
                  <c:v>0.40672807</c:v>
                </c:pt>
                <c:pt idx="86">
                  <c:v>0.43223447399999998</c:v>
                </c:pt>
                <c:pt idx="87">
                  <c:v>0.53161565200000005</c:v>
                </c:pt>
                <c:pt idx="88">
                  <c:v>0.53459363599999998</c:v>
                </c:pt>
                <c:pt idx="89">
                  <c:v>0.49419049999999998</c:v>
                </c:pt>
                <c:pt idx="90">
                  <c:v>0.48161954499999998</c:v>
                </c:pt>
                <c:pt idx="91">
                  <c:v>0.45523714300000001</c:v>
                </c:pt>
                <c:pt idx="92">
                  <c:v>0.43645772700000002</c:v>
                </c:pt>
                <c:pt idx="93">
                  <c:v>0.37078285700000002</c:v>
                </c:pt>
                <c:pt idx="94">
                  <c:v>0.445103095</c:v>
                </c:pt>
                <c:pt idx="95">
                  <c:v>0.536979545</c:v>
                </c:pt>
                <c:pt idx="96">
                  <c:v>0.692790711</c:v>
                </c:pt>
                <c:pt idx="97">
                  <c:v>0.73993238100000003</c:v>
                </c:pt>
                <c:pt idx="98">
                  <c:v>1.005972632</c:v>
                </c:pt>
                <c:pt idx="99">
                  <c:v>1.485095652</c:v>
                </c:pt>
                <c:pt idx="100">
                  <c:v>1.541609762</c:v>
                </c:pt>
                <c:pt idx="101">
                  <c:v>1.303285714</c:v>
                </c:pt>
                <c:pt idx="102">
                  <c:v>1.319362879</c:v>
                </c:pt>
                <c:pt idx="103">
                  <c:v>1.147891429</c:v>
                </c:pt>
                <c:pt idx="104">
                  <c:v>0.88386956500000002</c:v>
                </c:pt>
                <c:pt idx="105">
                  <c:v>0.90173999999999999</c:v>
                </c:pt>
                <c:pt idx="106">
                  <c:v>1.251789762</c:v>
                </c:pt>
                <c:pt idx="107">
                  <c:v>1.1329554550000001</c:v>
                </c:pt>
                <c:pt idx="108">
                  <c:v>0.96631571400000005</c:v>
                </c:pt>
                <c:pt idx="109">
                  <c:v>0.6718575</c:v>
                </c:pt>
                <c:pt idx="110">
                  <c:v>0.78933684199999998</c:v>
                </c:pt>
                <c:pt idx="111">
                  <c:v>1.333586087</c:v>
                </c:pt>
                <c:pt idx="112">
                  <c:v>1.3280350000000001</c:v>
                </c:pt>
                <c:pt idx="113">
                  <c:v>1.171866818</c:v>
                </c:pt>
                <c:pt idx="114">
                  <c:v>1.4992666670000001</c:v>
                </c:pt>
                <c:pt idx="115">
                  <c:v>1.6587316670000001</c:v>
                </c:pt>
                <c:pt idx="116">
                  <c:v>1.54063913</c:v>
                </c:pt>
                <c:pt idx="117">
                  <c:v>1.6156444999999999</c:v>
                </c:pt>
                <c:pt idx="118">
                  <c:v>1.75876381</c:v>
                </c:pt>
                <c:pt idx="119">
                  <c:v>1.5512900430000001</c:v>
                </c:pt>
                <c:pt idx="120">
                  <c:v>1.0764965</c:v>
                </c:pt>
                <c:pt idx="121">
                  <c:v>0.81654904800000006</c:v>
                </c:pt>
                <c:pt idx="122">
                  <c:v>0.89791100000000001</c:v>
                </c:pt>
                <c:pt idx="123">
                  <c:v>0.87431309499999998</c:v>
                </c:pt>
                <c:pt idx="124">
                  <c:v>0.96420454499999997</c:v>
                </c:pt>
                <c:pt idx="125">
                  <c:v>0.87574090900000001</c:v>
                </c:pt>
                <c:pt idx="126">
                  <c:v>0.80115010499999995</c:v>
                </c:pt>
                <c:pt idx="127">
                  <c:v>0.66932956499999996</c:v>
                </c:pt>
                <c:pt idx="128">
                  <c:v>0.51091909099999999</c:v>
                </c:pt>
                <c:pt idx="129">
                  <c:v>0.46298699999999998</c:v>
                </c:pt>
                <c:pt idx="130">
                  <c:v>0.70863241099999996</c:v>
                </c:pt>
                <c:pt idx="131">
                  <c:v>0.81872318300000002</c:v>
                </c:pt>
                <c:pt idx="132">
                  <c:v>0.849144762</c:v>
                </c:pt>
                <c:pt idx="133">
                  <c:v>0.87835857100000003</c:v>
                </c:pt>
                <c:pt idx="134">
                  <c:v>0.73251786799999996</c:v>
                </c:pt>
                <c:pt idx="135">
                  <c:v>0.71886000000000005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98-419E-813B-47A343E60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070703"/>
        <c:axId val="717620831"/>
      </c:lineChart>
      <c:catAx>
        <c:axId val="7507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20831"/>
        <c:crosses val="autoZero"/>
        <c:auto val="1"/>
        <c:lblAlgn val="ctr"/>
        <c:lblOffset val="100"/>
        <c:noMultiLvlLbl val="0"/>
      </c:catAx>
      <c:valAx>
        <c:axId val="71762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7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bankratemma!$J$1</c:f>
              <c:strCache>
                <c:ptCount val="1"/>
                <c:pt idx="0">
                  <c:v>dynamic beta</c:v>
                </c:pt>
              </c:strCache>
            </c:strRef>
          </c:tx>
          <c:spPr>
            <a:solidFill>
              <a:schemeClr val="accent6">
                <a:alpha val="50000"/>
              </a:schemeClr>
            </a:solidFill>
            <a:ln>
              <a:solidFill>
                <a:schemeClr val="accent6">
                  <a:lumMod val="20000"/>
                  <a:lumOff val="80000"/>
                  <a:alpha val="50000"/>
                </a:schemeClr>
              </a:solidFill>
            </a:ln>
            <a:effectLst/>
          </c:spPr>
          <c:val>
            <c:numRef>
              <c:f>bankratemma!$J$2:$J$137</c:f>
              <c:numCache>
                <c:formatCode>General</c:formatCode>
                <c:ptCount val="136"/>
                <c:pt idx="0">
                  <c:v>0.42552617146789473</c:v>
                </c:pt>
                <c:pt idx="1">
                  <c:v>0.42540441137449769</c:v>
                </c:pt>
                <c:pt idx="2">
                  <c:v>0.42537092801661186</c:v>
                </c:pt>
                <c:pt idx="3">
                  <c:v>0.42546725114757283</c:v>
                </c:pt>
                <c:pt idx="4">
                  <c:v>0.42556134881222807</c:v>
                </c:pt>
                <c:pt idx="5">
                  <c:v>0.42553402809784147</c:v>
                </c:pt>
                <c:pt idx="6">
                  <c:v>0.42560474396835474</c:v>
                </c:pt>
                <c:pt idx="7">
                  <c:v>0.42556884890910818</c:v>
                </c:pt>
                <c:pt idx="8">
                  <c:v>0.42554974177142751</c:v>
                </c:pt>
                <c:pt idx="9">
                  <c:v>0.42554581330545738</c:v>
                </c:pt>
                <c:pt idx="10">
                  <c:v>0.42554634900333321</c:v>
                </c:pt>
                <c:pt idx="11">
                  <c:v>0.42559885055116387</c:v>
                </c:pt>
                <c:pt idx="12">
                  <c:v>0.42581642226316324</c:v>
                </c:pt>
                <c:pt idx="13">
                  <c:v>0.42577627614671942</c:v>
                </c:pt>
                <c:pt idx="14">
                  <c:v>0.42575303528857433</c:v>
                </c:pt>
                <c:pt idx="15">
                  <c:v>0.42575264038104899</c:v>
                </c:pt>
                <c:pt idx="16">
                  <c:v>0.4258426880116134</c:v>
                </c:pt>
                <c:pt idx="17">
                  <c:v>0.42584231277226725</c:v>
                </c:pt>
                <c:pt idx="18">
                  <c:v>0.42587646048482497</c:v>
                </c:pt>
                <c:pt idx="19">
                  <c:v>0.42589130811616638</c:v>
                </c:pt>
                <c:pt idx="20">
                  <c:v>0.42598601492151844</c:v>
                </c:pt>
                <c:pt idx="21">
                  <c:v>0.42593096632705718</c:v>
                </c:pt>
                <c:pt idx="22">
                  <c:v>0.42584054380629033</c:v>
                </c:pt>
                <c:pt idx="23">
                  <c:v>0.42579647711496005</c:v>
                </c:pt>
                <c:pt idx="24">
                  <c:v>0.42672909875015247</c:v>
                </c:pt>
                <c:pt idx="25">
                  <c:v>0.42781228150284178</c:v>
                </c:pt>
                <c:pt idx="26">
                  <c:v>0.4279065297540281</c:v>
                </c:pt>
                <c:pt idx="27">
                  <c:v>0.42780127945202651</c:v>
                </c:pt>
                <c:pt idx="28">
                  <c:v>0.42784573177044805</c:v>
                </c:pt>
                <c:pt idx="29">
                  <c:v>0.42784178410196938</c:v>
                </c:pt>
                <c:pt idx="30">
                  <c:v>0.42792989624596001</c:v>
                </c:pt>
                <c:pt idx="31">
                  <c:v>0.42808482109624241</c:v>
                </c:pt>
                <c:pt idx="32">
                  <c:v>0.4280860832436521</c:v>
                </c:pt>
                <c:pt idx="33">
                  <c:v>0.42807869930246839</c:v>
                </c:pt>
                <c:pt idx="34">
                  <c:v>0.42814288312295601</c:v>
                </c:pt>
                <c:pt idx="35">
                  <c:v>0.42816362118388407</c:v>
                </c:pt>
                <c:pt idx="36">
                  <c:v>0.42924909510824871</c:v>
                </c:pt>
                <c:pt idx="37">
                  <c:v>0.43024160461055394</c:v>
                </c:pt>
                <c:pt idx="38">
                  <c:v>0.43024379618191266</c:v>
                </c:pt>
                <c:pt idx="39">
                  <c:v>0.43133796424459386</c:v>
                </c:pt>
                <c:pt idx="40">
                  <c:v>0.43233569186690352</c:v>
                </c:pt>
                <c:pt idx="41">
                  <c:v>0.43233873095104802</c:v>
                </c:pt>
                <c:pt idx="42">
                  <c:v>0.43347179254977075</c:v>
                </c:pt>
                <c:pt idx="43">
                  <c:v>0.43442420924442871</c:v>
                </c:pt>
                <c:pt idx="44">
                  <c:v>0.43442913008504558</c:v>
                </c:pt>
                <c:pt idx="45">
                  <c:v>0.43442001744738307</c:v>
                </c:pt>
                <c:pt idx="46">
                  <c:v>0.43442600573880097</c:v>
                </c:pt>
                <c:pt idx="47">
                  <c:v>0.43442600573880097</c:v>
                </c:pt>
                <c:pt idx="48">
                  <c:v>0.43562404722976455</c:v>
                </c:pt>
                <c:pt idx="49">
                  <c:v>0.43661292803049628</c:v>
                </c:pt>
                <c:pt idx="50">
                  <c:v>0.43661398159973008</c:v>
                </c:pt>
                <c:pt idx="51">
                  <c:v>0.43736374693490748</c:v>
                </c:pt>
                <c:pt idx="52">
                  <c:v>0.43893804782401757</c:v>
                </c:pt>
                <c:pt idx="53">
                  <c:v>0.43900227011738469</c:v>
                </c:pt>
                <c:pt idx="54">
                  <c:v>0.44002232642761741</c:v>
                </c:pt>
                <c:pt idx="55">
                  <c:v>0.44077391101868302</c:v>
                </c:pt>
                <c:pt idx="56">
                  <c:v>0.44081429095943792</c:v>
                </c:pt>
                <c:pt idx="57">
                  <c:v>0.44110278520837065</c:v>
                </c:pt>
                <c:pt idx="58">
                  <c:v>0.44312466178787691</c:v>
                </c:pt>
                <c:pt idx="59">
                  <c:v>0.4432161558130121</c:v>
                </c:pt>
                <c:pt idx="60">
                  <c:v>0.44379137419141507</c:v>
                </c:pt>
                <c:pt idx="61">
                  <c:v>0.44491694701594281</c:v>
                </c:pt>
                <c:pt idx="62">
                  <c:v>0.44491694701594281</c:v>
                </c:pt>
                <c:pt idx="63">
                  <c:v>0.44494919589190102</c:v>
                </c:pt>
                <c:pt idx="64">
                  <c:v>0.44511319591392101</c:v>
                </c:pt>
                <c:pt idx="65">
                  <c:v>0.44485538229422983</c:v>
                </c:pt>
                <c:pt idx="66">
                  <c:v>0.44470955781303534</c:v>
                </c:pt>
                <c:pt idx="67">
                  <c:v>0.44494003423290179</c:v>
                </c:pt>
                <c:pt idx="68">
                  <c:v>0.44259041052622583</c:v>
                </c:pt>
                <c:pt idx="69">
                  <c:v>0.44197759973458939</c:v>
                </c:pt>
                <c:pt idx="70">
                  <c:v>0.44009866831426026</c:v>
                </c:pt>
                <c:pt idx="71">
                  <c:v>0.43776082309429287</c:v>
                </c:pt>
                <c:pt idx="72">
                  <c:v>0.43774668674729378</c:v>
                </c:pt>
                <c:pt idx="73">
                  <c:v>0.43775470435043257</c:v>
                </c:pt>
                <c:pt idx="74">
                  <c:v>0.43802227920648573</c:v>
                </c:pt>
                <c:pt idx="75">
                  <c:v>0.42999560581404517</c:v>
                </c:pt>
                <c:pt idx="76">
                  <c:v>0.42521648068109208</c:v>
                </c:pt>
                <c:pt idx="77">
                  <c:v>0.42522772215217386</c:v>
                </c:pt>
                <c:pt idx="78">
                  <c:v>0.4254488624590797</c:v>
                </c:pt>
                <c:pt idx="79">
                  <c:v>0.42558629527434633</c:v>
                </c:pt>
                <c:pt idx="80">
                  <c:v>0.42559688609871199</c:v>
                </c:pt>
                <c:pt idx="81">
                  <c:v>0.42555759881498312</c:v>
                </c:pt>
                <c:pt idx="82">
                  <c:v>0.42555759881498312</c:v>
                </c:pt>
                <c:pt idx="83">
                  <c:v>0.42553154704103624</c:v>
                </c:pt>
                <c:pt idx="84">
                  <c:v>0.42555759881498312</c:v>
                </c:pt>
                <c:pt idx="85">
                  <c:v>0.42551852172674504</c:v>
                </c:pt>
                <c:pt idx="86">
                  <c:v>0.42544037779631971</c:v>
                </c:pt>
                <c:pt idx="87">
                  <c:v>0.42538904430198266</c:v>
                </c:pt>
                <c:pt idx="88">
                  <c:v>0.42538138425349681</c:v>
                </c:pt>
                <c:pt idx="89">
                  <c:v>0.42530604568691399</c:v>
                </c:pt>
                <c:pt idx="90">
                  <c:v>0.42545261154427971</c:v>
                </c:pt>
                <c:pt idx="91">
                  <c:v>0.42562831840232285</c:v>
                </c:pt>
                <c:pt idx="92">
                  <c:v>0.42558384947930183</c:v>
                </c:pt>
                <c:pt idx="93">
                  <c:v>0.42546725114757283</c:v>
                </c:pt>
                <c:pt idx="94">
                  <c:v>0.42547098253782267</c:v>
                </c:pt>
                <c:pt idx="95">
                  <c:v>0.42547098253782267</c:v>
                </c:pt>
                <c:pt idx="96">
                  <c:v>0.4254715204720898</c:v>
                </c:pt>
                <c:pt idx="97">
                  <c:v>0.42547510674184913</c:v>
                </c:pt>
                <c:pt idx="98">
                  <c:v>0.42547510674184913</c:v>
                </c:pt>
                <c:pt idx="99">
                  <c:v>0.42646240946183667</c:v>
                </c:pt>
                <c:pt idx="100">
                  <c:v>0.42754185383503607</c:v>
                </c:pt>
                <c:pt idx="101">
                  <c:v>0.43110479795784651</c:v>
                </c:pt>
                <c:pt idx="102">
                  <c:v>0.43468953986624081</c:v>
                </c:pt>
                <c:pt idx="103">
                  <c:v>0.43861880362144257</c:v>
                </c:pt>
                <c:pt idx="104">
                  <c:v>0.44432446075889254</c:v>
                </c:pt>
                <c:pt idx="105">
                  <c:v>0.44644116798299632</c:v>
                </c:pt>
                <c:pt idx="106">
                  <c:v>0.45067799538276732</c:v>
                </c:pt>
                <c:pt idx="107">
                  <c:v>0.45639474671060487</c:v>
                </c:pt>
                <c:pt idx="108">
                  <c:v>0.45924217066201423</c:v>
                </c:pt>
                <c:pt idx="109">
                  <c:v>0.4612505814817911</c:v>
                </c:pt>
                <c:pt idx="110">
                  <c:v>0.46323112894168877</c:v>
                </c:pt>
                <c:pt idx="111">
                  <c:v>0.46396895006574218</c:v>
                </c:pt>
                <c:pt idx="112">
                  <c:v>0.46545421796964903</c:v>
                </c:pt>
                <c:pt idx="113">
                  <c:v>0.46726226217072403</c:v>
                </c:pt>
                <c:pt idx="114">
                  <c:v>0.46751146729440207</c:v>
                </c:pt>
                <c:pt idx="115">
                  <c:v>0.46785650041269977</c:v>
                </c:pt>
                <c:pt idx="116">
                  <c:v>0.46963346219961322</c:v>
                </c:pt>
                <c:pt idx="117">
                  <c:v>0.46963346219961322</c:v>
                </c:pt>
                <c:pt idx="118">
                  <c:v>0.46963346219961322</c:v>
                </c:pt>
                <c:pt idx="119">
                  <c:v>0.46963346219961322</c:v>
                </c:pt>
                <c:pt idx="120">
                  <c:v>0.46963346219961322</c:v>
                </c:pt>
                <c:pt idx="121">
                  <c:v>0.46963346219961322</c:v>
                </c:pt>
                <c:pt idx="122">
                  <c:v>0.46963346219961322</c:v>
                </c:pt>
                <c:pt idx="123">
                  <c:v>0.46963346219961322</c:v>
                </c:pt>
                <c:pt idx="124">
                  <c:v>0.46963346219961322</c:v>
                </c:pt>
                <c:pt idx="125">
                  <c:v>0.46963346219961322</c:v>
                </c:pt>
                <c:pt idx="126">
                  <c:v>0.46963346219961322</c:v>
                </c:pt>
                <c:pt idx="127">
                  <c:v>0.46963346219961322</c:v>
                </c:pt>
                <c:pt idx="128">
                  <c:v>0.46963346219961322</c:v>
                </c:pt>
                <c:pt idx="129">
                  <c:v>0.46796510457238616</c:v>
                </c:pt>
                <c:pt idx="130">
                  <c:v>0.46545421796964903</c:v>
                </c:pt>
                <c:pt idx="131">
                  <c:v>0.46390800322511616</c:v>
                </c:pt>
                <c:pt idx="132">
                  <c:v>0.46255392207725377</c:v>
                </c:pt>
                <c:pt idx="133">
                  <c:v>0.4612505814817911</c:v>
                </c:pt>
                <c:pt idx="134">
                  <c:v>0.4612505814817911</c:v>
                </c:pt>
                <c:pt idx="135">
                  <c:v>0.4612505814817911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2A-43C0-BD07-F715CD95A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4975"/>
        <c:axId val="71615455"/>
      </c:areaChart>
      <c:lineChart>
        <c:grouping val="standard"/>
        <c:varyColors val="0"/>
        <c:ser>
          <c:idx val="0"/>
          <c:order val="0"/>
          <c:tx>
            <c:strRef>
              <c:f>bankratemma!$B$1</c:f>
              <c:strCache>
                <c:ptCount val="1"/>
                <c:pt idx="0">
                  <c:v>ILMDHYLD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bankratemma!$A$2:$A$137</c:f>
              <c:numCache>
                <c:formatCode>m/d/yyyy</c:formatCode>
                <c:ptCount val="136"/>
                <c:pt idx="0">
                  <c:v>41639</c:v>
                </c:pt>
                <c:pt idx="1">
                  <c:v>41670</c:v>
                </c:pt>
                <c:pt idx="2">
                  <c:v>41698</c:v>
                </c:pt>
                <c:pt idx="3">
                  <c:v>41729</c:v>
                </c:pt>
                <c:pt idx="4">
                  <c:v>41759</c:v>
                </c:pt>
                <c:pt idx="5">
                  <c:v>41790</c:v>
                </c:pt>
                <c:pt idx="6">
                  <c:v>41820</c:v>
                </c:pt>
                <c:pt idx="7">
                  <c:v>41851</c:v>
                </c:pt>
                <c:pt idx="8">
                  <c:v>41882</c:v>
                </c:pt>
                <c:pt idx="9">
                  <c:v>41912</c:v>
                </c:pt>
                <c:pt idx="10">
                  <c:v>41943</c:v>
                </c:pt>
                <c:pt idx="11">
                  <c:v>41973</c:v>
                </c:pt>
                <c:pt idx="12">
                  <c:v>42004</c:v>
                </c:pt>
                <c:pt idx="13">
                  <c:v>42035</c:v>
                </c:pt>
                <c:pt idx="14">
                  <c:v>42063</c:v>
                </c:pt>
                <c:pt idx="15">
                  <c:v>42094</c:v>
                </c:pt>
                <c:pt idx="16">
                  <c:v>42124</c:v>
                </c:pt>
                <c:pt idx="17">
                  <c:v>42155</c:v>
                </c:pt>
                <c:pt idx="18">
                  <c:v>42185</c:v>
                </c:pt>
                <c:pt idx="19">
                  <c:v>42216</c:v>
                </c:pt>
                <c:pt idx="20">
                  <c:v>42247</c:v>
                </c:pt>
                <c:pt idx="21">
                  <c:v>42277</c:v>
                </c:pt>
                <c:pt idx="22">
                  <c:v>42308</c:v>
                </c:pt>
                <c:pt idx="23">
                  <c:v>42338</c:v>
                </c:pt>
                <c:pt idx="24">
                  <c:v>42369</c:v>
                </c:pt>
                <c:pt idx="25">
                  <c:v>42400</c:v>
                </c:pt>
                <c:pt idx="26">
                  <c:v>42429</c:v>
                </c:pt>
                <c:pt idx="27">
                  <c:v>42460</c:v>
                </c:pt>
                <c:pt idx="28">
                  <c:v>42490</c:v>
                </c:pt>
                <c:pt idx="29">
                  <c:v>42521</c:v>
                </c:pt>
                <c:pt idx="30">
                  <c:v>42551</c:v>
                </c:pt>
                <c:pt idx="31">
                  <c:v>42582</c:v>
                </c:pt>
                <c:pt idx="32">
                  <c:v>42613</c:v>
                </c:pt>
                <c:pt idx="33">
                  <c:v>42643</c:v>
                </c:pt>
                <c:pt idx="34">
                  <c:v>42674</c:v>
                </c:pt>
                <c:pt idx="35">
                  <c:v>42704</c:v>
                </c:pt>
                <c:pt idx="36">
                  <c:v>42735</c:v>
                </c:pt>
                <c:pt idx="37">
                  <c:v>42766</c:v>
                </c:pt>
                <c:pt idx="38">
                  <c:v>42794</c:v>
                </c:pt>
                <c:pt idx="39">
                  <c:v>42825</c:v>
                </c:pt>
                <c:pt idx="40">
                  <c:v>42855</c:v>
                </c:pt>
                <c:pt idx="41">
                  <c:v>42886</c:v>
                </c:pt>
                <c:pt idx="42">
                  <c:v>42916</c:v>
                </c:pt>
                <c:pt idx="43">
                  <c:v>42947</c:v>
                </c:pt>
                <c:pt idx="44">
                  <c:v>42978</c:v>
                </c:pt>
                <c:pt idx="45">
                  <c:v>43008</c:v>
                </c:pt>
                <c:pt idx="46">
                  <c:v>43039</c:v>
                </c:pt>
                <c:pt idx="47">
                  <c:v>43069</c:v>
                </c:pt>
                <c:pt idx="48">
                  <c:v>43100</c:v>
                </c:pt>
                <c:pt idx="49">
                  <c:v>43131</c:v>
                </c:pt>
                <c:pt idx="50">
                  <c:v>43159</c:v>
                </c:pt>
                <c:pt idx="51">
                  <c:v>43190</c:v>
                </c:pt>
                <c:pt idx="52">
                  <c:v>43220</c:v>
                </c:pt>
                <c:pt idx="53">
                  <c:v>43251</c:v>
                </c:pt>
                <c:pt idx="54">
                  <c:v>43281</c:v>
                </c:pt>
                <c:pt idx="55">
                  <c:v>43312</c:v>
                </c:pt>
                <c:pt idx="56">
                  <c:v>43343</c:v>
                </c:pt>
                <c:pt idx="57">
                  <c:v>43373</c:v>
                </c:pt>
                <c:pt idx="58">
                  <c:v>43404</c:v>
                </c:pt>
                <c:pt idx="59">
                  <c:v>43434</c:v>
                </c:pt>
                <c:pt idx="60">
                  <c:v>43465</c:v>
                </c:pt>
                <c:pt idx="61">
                  <c:v>43496</c:v>
                </c:pt>
                <c:pt idx="62">
                  <c:v>43524</c:v>
                </c:pt>
                <c:pt idx="63">
                  <c:v>43555</c:v>
                </c:pt>
                <c:pt idx="64">
                  <c:v>43585</c:v>
                </c:pt>
                <c:pt idx="65">
                  <c:v>43616</c:v>
                </c:pt>
                <c:pt idx="66">
                  <c:v>43646</c:v>
                </c:pt>
                <c:pt idx="67">
                  <c:v>43677</c:v>
                </c:pt>
                <c:pt idx="68">
                  <c:v>43708</c:v>
                </c:pt>
                <c:pt idx="69">
                  <c:v>43738</c:v>
                </c:pt>
                <c:pt idx="70">
                  <c:v>43769</c:v>
                </c:pt>
                <c:pt idx="71">
                  <c:v>43799</c:v>
                </c:pt>
                <c:pt idx="72">
                  <c:v>43830</c:v>
                </c:pt>
                <c:pt idx="73">
                  <c:v>43861</c:v>
                </c:pt>
                <c:pt idx="74">
                  <c:v>43890</c:v>
                </c:pt>
                <c:pt idx="75">
                  <c:v>43921</c:v>
                </c:pt>
                <c:pt idx="76">
                  <c:v>43951</c:v>
                </c:pt>
                <c:pt idx="77">
                  <c:v>43982</c:v>
                </c:pt>
                <c:pt idx="78">
                  <c:v>44012</c:v>
                </c:pt>
                <c:pt idx="79">
                  <c:v>44043</c:v>
                </c:pt>
                <c:pt idx="80">
                  <c:v>44074</c:v>
                </c:pt>
                <c:pt idx="81">
                  <c:v>44104</c:v>
                </c:pt>
                <c:pt idx="82">
                  <c:v>44135</c:v>
                </c:pt>
                <c:pt idx="83">
                  <c:v>44165</c:v>
                </c:pt>
                <c:pt idx="84">
                  <c:v>44196</c:v>
                </c:pt>
                <c:pt idx="85">
                  <c:v>44227</c:v>
                </c:pt>
                <c:pt idx="86">
                  <c:v>44255</c:v>
                </c:pt>
                <c:pt idx="87">
                  <c:v>44286</c:v>
                </c:pt>
                <c:pt idx="88">
                  <c:v>44316</c:v>
                </c:pt>
                <c:pt idx="89">
                  <c:v>44347</c:v>
                </c:pt>
                <c:pt idx="90">
                  <c:v>44377</c:v>
                </c:pt>
                <c:pt idx="91">
                  <c:v>44408</c:v>
                </c:pt>
                <c:pt idx="92">
                  <c:v>44439</c:v>
                </c:pt>
                <c:pt idx="93">
                  <c:v>44469</c:v>
                </c:pt>
                <c:pt idx="94">
                  <c:v>44500</c:v>
                </c:pt>
                <c:pt idx="95">
                  <c:v>44530</c:v>
                </c:pt>
                <c:pt idx="96">
                  <c:v>44561</c:v>
                </c:pt>
                <c:pt idx="97">
                  <c:v>44592</c:v>
                </c:pt>
                <c:pt idx="98">
                  <c:v>44620</c:v>
                </c:pt>
                <c:pt idx="99">
                  <c:v>44651</c:v>
                </c:pt>
                <c:pt idx="100">
                  <c:v>44681</c:v>
                </c:pt>
                <c:pt idx="101">
                  <c:v>44712</c:v>
                </c:pt>
                <c:pt idx="102">
                  <c:v>44742</c:v>
                </c:pt>
                <c:pt idx="103">
                  <c:v>44773</c:v>
                </c:pt>
                <c:pt idx="104">
                  <c:v>44804</c:v>
                </c:pt>
                <c:pt idx="105">
                  <c:v>44834</c:v>
                </c:pt>
                <c:pt idx="106">
                  <c:v>44865</c:v>
                </c:pt>
                <c:pt idx="107">
                  <c:v>44895</c:v>
                </c:pt>
                <c:pt idx="108">
                  <c:v>44926</c:v>
                </c:pt>
                <c:pt idx="109">
                  <c:v>44957</c:v>
                </c:pt>
                <c:pt idx="110">
                  <c:v>44985</c:v>
                </c:pt>
                <c:pt idx="111">
                  <c:v>45016</c:v>
                </c:pt>
                <c:pt idx="112">
                  <c:v>45046</c:v>
                </c:pt>
                <c:pt idx="113">
                  <c:v>45077</c:v>
                </c:pt>
                <c:pt idx="114">
                  <c:v>45107</c:v>
                </c:pt>
                <c:pt idx="115">
                  <c:v>45138</c:v>
                </c:pt>
                <c:pt idx="116">
                  <c:v>45169</c:v>
                </c:pt>
                <c:pt idx="117">
                  <c:v>45199</c:v>
                </c:pt>
                <c:pt idx="118">
                  <c:v>45230</c:v>
                </c:pt>
                <c:pt idx="119">
                  <c:v>45260</c:v>
                </c:pt>
                <c:pt idx="120">
                  <c:v>45291</c:v>
                </c:pt>
                <c:pt idx="121">
                  <c:v>45322</c:v>
                </c:pt>
                <c:pt idx="122">
                  <c:v>45351</c:v>
                </c:pt>
                <c:pt idx="123">
                  <c:v>45382</c:v>
                </c:pt>
                <c:pt idx="124">
                  <c:v>45412</c:v>
                </c:pt>
                <c:pt idx="125">
                  <c:v>45443</c:v>
                </c:pt>
                <c:pt idx="126">
                  <c:v>45473</c:v>
                </c:pt>
                <c:pt idx="127">
                  <c:v>45504</c:v>
                </c:pt>
                <c:pt idx="128">
                  <c:v>45535</c:v>
                </c:pt>
                <c:pt idx="129">
                  <c:v>45565</c:v>
                </c:pt>
                <c:pt idx="130">
                  <c:v>45596</c:v>
                </c:pt>
                <c:pt idx="131">
                  <c:v>45626</c:v>
                </c:pt>
                <c:pt idx="132">
                  <c:v>45657</c:v>
                </c:pt>
                <c:pt idx="133">
                  <c:v>45688</c:v>
                </c:pt>
                <c:pt idx="134">
                  <c:v>45716</c:v>
                </c:pt>
                <c:pt idx="135">
                  <c:v>45747</c:v>
                </c:pt>
              </c:numCache>
            </c:numRef>
          </c:cat>
          <c:val>
            <c:numRef>
              <c:f>bankratemma!$B$2:$B$137</c:f>
              <c:numCache>
                <c:formatCode>General</c:formatCode>
                <c:ptCount val="136"/>
                <c:pt idx="0">
                  <c:v>0.44909090899999998</c:v>
                </c:pt>
                <c:pt idx="1">
                  <c:v>0.45434782600000001</c:v>
                </c:pt>
                <c:pt idx="2">
                  <c:v>0.45750000000000002</c:v>
                </c:pt>
                <c:pt idx="3">
                  <c:v>0.45571428600000002</c:v>
                </c:pt>
                <c:pt idx="4">
                  <c:v>0.44545454499999998</c:v>
                </c:pt>
                <c:pt idx="5">
                  <c:v>0.46272727299999999</c:v>
                </c:pt>
                <c:pt idx="6">
                  <c:v>0.47523809500000003</c:v>
                </c:pt>
                <c:pt idx="7">
                  <c:v>0.51086956500000003</c:v>
                </c:pt>
                <c:pt idx="8">
                  <c:v>0.51380952400000002</c:v>
                </c:pt>
                <c:pt idx="9">
                  <c:v>0.49545454500000002</c:v>
                </c:pt>
                <c:pt idx="10">
                  <c:v>0.49</c:v>
                </c:pt>
                <c:pt idx="11">
                  <c:v>0.49199999999999999</c:v>
                </c:pt>
                <c:pt idx="12">
                  <c:v>0.50043478299999999</c:v>
                </c:pt>
                <c:pt idx="13">
                  <c:v>0.48499999999999999</c:v>
                </c:pt>
                <c:pt idx="14">
                  <c:v>0.46500000000000002</c:v>
                </c:pt>
                <c:pt idx="15">
                  <c:v>0.45227272699999999</c:v>
                </c:pt>
                <c:pt idx="16">
                  <c:v>0.46681818200000003</c:v>
                </c:pt>
                <c:pt idx="17">
                  <c:v>0.47142857100000002</c:v>
                </c:pt>
                <c:pt idx="18">
                  <c:v>0.464090909</c:v>
                </c:pt>
                <c:pt idx="19">
                  <c:v>0.47391304299999998</c:v>
                </c:pt>
                <c:pt idx="20">
                  <c:v>0.44571428600000002</c:v>
                </c:pt>
                <c:pt idx="21">
                  <c:v>0.48</c:v>
                </c:pt>
                <c:pt idx="22">
                  <c:v>0.49136363599999999</c:v>
                </c:pt>
                <c:pt idx="23">
                  <c:v>0.49095238099999999</c:v>
                </c:pt>
                <c:pt idx="24">
                  <c:v>0.47956521699999999</c:v>
                </c:pt>
                <c:pt idx="25">
                  <c:v>0.49428571399999999</c:v>
                </c:pt>
                <c:pt idx="26">
                  <c:v>0.52571428600000003</c:v>
                </c:pt>
                <c:pt idx="27">
                  <c:v>0.55000000000000004</c:v>
                </c:pt>
                <c:pt idx="28">
                  <c:v>0.50952381000000002</c:v>
                </c:pt>
                <c:pt idx="29">
                  <c:v>0.51363636400000001</c:v>
                </c:pt>
                <c:pt idx="30">
                  <c:v>0.54909090900000002</c:v>
                </c:pt>
                <c:pt idx="31">
                  <c:v>0.53333333299999997</c:v>
                </c:pt>
                <c:pt idx="32">
                  <c:v>0.49043478299999999</c:v>
                </c:pt>
                <c:pt idx="33">
                  <c:v>0.472727273</c:v>
                </c:pt>
                <c:pt idx="34">
                  <c:v>0.52</c:v>
                </c:pt>
                <c:pt idx="35">
                  <c:v>0.54181818199999998</c:v>
                </c:pt>
                <c:pt idx="36">
                  <c:v>0.54454545499999996</c:v>
                </c:pt>
                <c:pt idx="37">
                  <c:v>0.58227272699999999</c:v>
                </c:pt>
                <c:pt idx="38">
                  <c:v>0.5595</c:v>
                </c:pt>
                <c:pt idx="39">
                  <c:v>0.602608696</c:v>
                </c:pt>
                <c:pt idx="40">
                  <c:v>0.70399999999999996</c:v>
                </c:pt>
                <c:pt idx="41">
                  <c:v>0.68695652200000001</c:v>
                </c:pt>
                <c:pt idx="42">
                  <c:v>0.66954545499999996</c:v>
                </c:pt>
                <c:pt idx="43">
                  <c:v>0.682857143</c:v>
                </c:pt>
                <c:pt idx="44">
                  <c:v>0.67</c:v>
                </c:pt>
                <c:pt idx="45">
                  <c:v>0.68809523800000005</c:v>
                </c:pt>
                <c:pt idx="46">
                  <c:v>0.72272727299999995</c:v>
                </c:pt>
                <c:pt idx="47">
                  <c:v>0.74045454499999996</c:v>
                </c:pt>
                <c:pt idx="48">
                  <c:v>0.83</c:v>
                </c:pt>
                <c:pt idx="49">
                  <c:v>0.81954545499999998</c:v>
                </c:pt>
                <c:pt idx="50">
                  <c:v>0.83799999999999997</c:v>
                </c:pt>
                <c:pt idx="51">
                  <c:v>0.900454545</c:v>
                </c:pt>
                <c:pt idx="52">
                  <c:v>1.130952381</c:v>
                </c:pt>
                <c:pt idx="53">
                  <c:v>1.077272727</c:v>
                </c:pt>
                <c:pt idx="54">
                  <c:v>1.2542857140000001</c:v>
                </c:pt>
                <c:pt idx="55">
                  <c:v>1.2259090909999999</c:v>
                </c:pt>
                <c:pt idx="56">
                  <c:v>1.151304348</c:v>
                </c:pt>
                <c:pt idx="57">
                  <c:v>1.246666667</c:v>
                </c:pt>
                <c:pt idx="58">
                  <c:v>1.237826087</c:v>
                </c:pt>
                <c:pt idx="59">
                  <c:v>1.444090909</c:v>
                </c:pt>
                <c:pt idx="60">
                  <c:v>1.5495238099999999</c:v>
                </c:pt>
                <c:pt idx="61">
                  <c:v>1.339130435</c:v>
                </c:pt>
                <c:pt idx="62">
                  <c:v>1.3320000000000001</c:v>
                </c:pt>
                <c:pt idx="63">
                  <c:v>1.437619048</c:v>
                </c:pt>
                <c:pt idx="64">
                  <c:v>1.2785714290000001</c:v>
                </c:pt>
                <c:pt idx="65">
                  <c:v>1.355714286</c:v>
                </c:pt>
                <c:pt idx="66">
                  <c:v>1.3973684209999999</c:v>
                </c:pt>
                <c:pt idx="67">
                  <c:v>1.323478261</c:v>
                </c:pt>
                <c:pt idx="68">
                  <c:v>1.289090909</c:v>
                </c:pt>
                <c:pt idx="69">
                  <c:v>1.2057142860000001</c:v>
                </c:pt>
                <c:pt idx="70">
                  <c:v>1.180909091</c:v>
                </c:pt>
                <c:pt idx="71">
                  <c:v>1.0871428569999999</c:v>
                </c:pt>
                <c:pt idx="72">
                  <c:v>0.96090909099999999</c:v>
                </c:pt>
                <c:pt idx="73">
                  <c:v>0.88</c:v>
                </c:pt>
                <c:pt idx="74">
                  <c:v>0.94947368399999998</c:v>
                </c:pt>
                <c:pt idx="75">
                  <c:v>0.811818182</c:v>
                </c:pt>
                <c:pt idx="76">
                  <c:v>0.59363636399999997</c:v>
                </c:pt>
                <c:pt idx="77">
                  <c:v>0.63333333300000005</c:v>
                </c:pt>
                <c:pt idx="78">
                  <c:v>0.56363636399999995</c:v>
                </c:pt>
                <c:pt idx="79">
                  <c:v>0.50130434800000001</c:v>
                </c:pt>
                <c:pt idx="80">
                  <c:v>0.46285714300000003</c:v>
                </c:pt>
                <c:pt idx="81">
                  <c:v>0.41</c:v>
                </c:pt>
                <c:pt idx="82">
                  <c:v>0.35909090900000001</c:v>
                </c:pt>
                <c:pt idx="83">
                  <c:v>0.33600000000000002</c:v>
                </c:pt>
                <c:pt idx="84">
                  <c:v>0.31565217400000001</c:v>
                </c:pt>
                <c:pt idx="85">
                  <c:v>0.28952380999999999</c:v>
                </c:pt>
                <c:pt idx="86">
                  <c:v>0.27650000000000002</c:v>
                </c:pt>
                <c:pt idx="87">
                  <c:v>0.27478260900000001</c:v>
                </c:pt>
                <c:pt idx="88">
                  <c:v>0.275909091</c:v>
                </c:pt>
                <c:pt idx="89">
                  <c:v>0.26952380999999997</c:v>
                </c:pt>
                <c:pt idx="90">
                  <c:v>0.27</c:v>
                </c:pt>
                <c:pt idx="91">
                  <c:v>0.27</c:v>
                </c:pt>
                <c:pt idx="92">
                  <c:v>0.27363636400000002</c:v>
                </c:pt>
                <c:pt idx="93">
                  <c:v>0.28818181799999998</c:v>
                </c:pt>
                <c:pt idx="94">
                  <c:v>0.28285714299999998</c:v>
                </c:pt>
                <c:pt idx="95">
                  <c:v>0.284545455</c:v>
                </c:pt>
                <c:pt idx="96">
                  <c:v>0.28000000000000003</c:v>
                </c:pt>
                <c:pt idx="97">
                  <c:v>0.28476190499999998</c:v>
                </c:pt>
                <c:pt idx="98">
                  <c:v>0.294736842</c:v>
                </c:pt>
                <c:pt idx="99">
                  <c:v>0.30391304299999999</c:v>
                </c:pt>
                <c:pt idx="100">
                  <c:v>0.32150000000000001</c:v>
                </c:pt>
                <c:pt idx="101">
                  <c:v>0.36136363599999999</c:v>
                </c:pt>
                <c:pt idx="102">
                  <c:v>0.440952381</c:v>
                </c:pt>
                <c:pt idx="103">
                  <c:v>0.56476190500000001</c:v>
                </c:pt>
                <c:pt idx="104">
                  <c:v>0.796956522</c:v>
                </c:pt>
                <c:pt idx="105">
                  <c:v>0.94090909099999998</c:v>
                </c:pt>
                <c:pt idx="106">
                  <c:v>1.099047619</c:v>
                </c:pt>
                <c:pt idx="107">
                  <c:v>1.39</c:v>
                </c:pt>
                <c:pt idx="108">
                  <c:v>1.6677272729999999</c:v>
                </c:pt>
                <c:pt idx="109">
                  <c:v>1.85</c:v>
                </c:pt>
                <c:pt idx="110">
                  <c:v>1.9704999999999999</c:v>
                </c:pt>
                <c:pt idx="111">
                  <c:v>2.0639130429999999</c:v>
                </c:pt>
                <c:pt idx="112">
                  <c:v>2.2625000000000002</c:v>
                </c:pt>
                <c:pt idx="113">
                  <c:v>2.4556521739999999</c:v>
                </c:pt>
                <c:pt idx="114">
                  <c:v>2.48</c:v>
                </c:pt>
                <c:pt idx="115">
                  <c:v>2.5819999999999999</c:v>
                </c:pt>
                <c:pt idx="116">
                  <c:v>2.6845454549999999</c:v>
                </c:pt>
                <c:pt idx="117">
                  <c:v>2.7066666669999999</c:v>
                </c:pt>
                <c:pt idx="118">
                  <c:v>2.721666667</c:v>
                </c:pt>
                <c:pt idx="119">
                  <c:v>2.7514285709999999</c:v>
                </c:pt>
                <c:pt idx="120">
                  <c:v>2.76</c:v>
                </c:pt>
                <c:pt idx="121">
                  <c:v>2.7260869570000001</c:v>
                </c:pt>
                <c:pt idx="122">
                  <c:v>2.8142857139999999</c:v>
                </c:pt>
                <c:pt idx="123">
                  <c:v>2.9014285709999998</c:v>
                </c:pt>
                <c:pt idx="124">
                  <c:v>2.91</c:v>
                </c:pt>
                <c:pt idx="125">
                  <c:v>2.91</c:v>
                </c:pt>
                <c:pt idx="126">
                  <c:v>2.91</c:v>
                </c:pt>
                <c:pt idx="127">
                  <c:v>2.9121739130000002</c:v>
                </c:pt>
                <c:pt idx="128">
                  <c:v>2.901818182</c:v>
                </c:pt>
                <c:pt idx="129">
                  <c:v>2.8642857140000002</c:v>
                </c:pt>
                <c:pt idx="130">
                  <c:v>2.7530434779999999</c:v>
                </c:pt>
                <c:pt idx="131">
                  <c:v>2.6361904759999999</c:v>
                </c:pt>
                <c:pt idx="132">
                  <c:v>2.5554545449999999</c:v>
                </c:pt>
                <c:pt idx="133">
                  <c:v>2.5680000000000001</c:v>
                </c:pt>
                <c:pt idx="134">
                  <c:v>2.5099999999999998</c:v>
                </c:pt>
                <c:pt idx="135">
                  <c:v>2.4950000000000001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A-43C0-BD07-F715CD95AD32}"/>
            </c:ext>
          </c:extLst>
        </c:ser>
        <c:ser>
          <c:idx val="1"/>
          <c:order val="1"/>
          <c:tx>
            <c:strRef>
              <c:f>bankratemma!$K$1</c:f>
              <c:strCache>
                <c:ptCount val="1"/>
                <c:pt idx="0">
                  <c:v>Dynamic Beta Model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bankratemma!$A$2:$A$137</c:f>
              <c:numCache>
                <c:formatCode>m/d/yyyy</c:formatCode>
                <c:ptCount val="136"/>
                <c:pt idx="0">
                  <c:v>41639</c:v>
                </c:pt>
                <c:pt idx="1">
                  <c:v>41670</c:v>
                </c:pt>
                <c:pt idx="2">
                  <c:v>41698</c:v>
                </c:pt>
                <c:pt idx="3">
                  <c:v>41729</c:v>
                </c:pt>
                <c:pt idx="4">
                  <c:v>41759</c:v>
                </c:pt>
                <c:pt idx="5">
                  <c:v>41790</c:v>
                </c:pt>
                <c:pt idx="6">
                  <c:v>41820</c:v>
                </c:pt>
                <c:pt idx="7">
                  <c:v>41851</c:v>
                </c:pt>
                <c:pt idx="8">
                  <c:v>41882</c:v>
                </c:pt>
                <c:pt idx="9">
                  <c:v>41912</c:v>
                </c:pt>
                <c:pt idx="10">
                  <c:v>41943</c:v>
                </c:pt>
                <c:pt idx="11">
                  <c:v>41973</c:v>
                </c:pt>
                <c:pt idx="12">
                  <c:v>42004</c:v>
                </c:pt>
                <c:pt idx="13">
                  <c:v>42035</c:v>
                </c:pt>
                <c:pt idx="14">
                  <c:v>42063</c:v>
                </c:pt>
                <c:pt idx="15">
                  <c:v>42094</c:v>
                </c:pt>
                <c:pt idx="16">
                  <c:v>42124</c:v>
                </c:pt>
                <c:pt idx="17">
                  <c:v>42155</c:v>
                </c:pt>
                <c:pt idx="18">
                  <c:v>42185</c:v>
                </c:pt>
                <c:pt idx="19">
                  <c:v>42216</c:v>
                </c:pt>
                <c:pt idx="20">
                  <c:v>42247</c:v>
                </c:pt>
                <c:pt idx="21">
                  <c:v>42277</c:v>
                </c:pt>
                <c:pt idx="22">
                  <c:v>42308</c:v>
                </c:pt>
                <c:pt idx="23">
                  <c:v>42338</c:v>
                </c:pt>
                <c:pt idx="24">
                  <c:v>42369</c:v>
                </c:pt>
                <c:pt idx="25">
                  <c:v>42400</c:v>
                </c:pt>
                <c:pt idx="26">
                  <c:v>42429</c:v>
                </c:pt>
                <c:pt idx="27">
                  <c:v>42460</c:v>
                </c:pt>
                <c:pt idx="28">
                  <c:v>42490</c:v>
                </c:pt>
                <c:pt idx="29">
                  <c:v>42521</c:v>
                </c:pt>
                <c:pt idx="30">
                  <c:v>42551</c:v>
                </c:pt>
                <c:pt idx="31">
                  <c:v>42582</c:v>
                </c:pt>
                <c:pt idx="32">
                  <c:v>42613</c:v>
                </c:pt>
                <c:pt idx="33">
                  <c:v>42643</c:v>
                </c:pt>
                <c:pt idx="34">
                  <c:v>42674</c:v>
                </c:pt>
                <c:pt idx="35">
                  <c:v>42704</c:v>
                </c:pt>
                <c:pt idx="36">
                  <c:v>42735</c:v>
                </c:pt>
                <c:pt idx="37">
                  <c:v>42766</c:v>
                </c:pt>
                <c:pt idx="38">
                  <c:v>42794</c:v>
                </c:pt>
                <c:pt idx="39">
                  <c:v>42825</c:v>
                </c:pt>
                <c:pt idx="40">
                  <c:v>42855</c:v>
                </c:pt>
                <c:pt idx="41">
                  <c:v>42886</c:v>
                </c:pt>
                <c:pt idx="42">
                  <c:v>42916</c:v>
                </c:pt>
                <c:pt idx="43">
                  <c:v>42947</c:v>
                </c:pt>
                <c:pt idx="44">
                  <c:v>42978</c:v>
                </c:pt>
                <c:pt idx="45">
                  <c:v>43008</c:v>
                </c:pt>
                <c:pt idx="46">
                  <c:v>43039</c:v>
                </c:pt>
                <c:pt idx="47">
                  <c:v>43069</c:v>
                </c:pt>
                <c:pt idx="48">
                  <c:v>43100</c:v>
                </c:pt>
                <c:pt idx="49">
                  <c:v>43131</c:v>
                </c:pt>
                <c:pt idx="50">
                  <c:v>43159</c:v>
                </c:pt>
                <c:pt idx="51">
                  <c:v>43190</c:v>
                </c:pt>
                <c:pt idx="52">
                  <c:v>43220</c:v>
                </c:pt>
                <c:pt idx="53">
                  <c:v>43251</c:v>
                </c:pt>
                <c:pt idx="54">
                  <c:v>43281</c:v>
                </c:pt>
                <c:pt idx="55">
                  <c:v>43312</c:v>
                </c:pt>
                <c:pt idx="56">
                  <c:v>43343</c:v>
                </c:pt>
                <c:pt idx="57">
                  <c:v>43373</c:v>
                </c:pt>
                <c:pt idx="58">
                  <c:v>43404</c:v>
                </c:pt>
                <c:pt idx="59">
                  <c:v>43434</c:v>
                </c:pt>
                <c:pt idx="60">
                  <c:v>43465</c:v>
                </c:pt>
                <c:pt idx="61">
                  <c:v>43496</c:v>
                </c:pt>
                <c:pt idx="62">
                  <c:v>43524</c:v>
                </c:pt>
                <c:pt idx="63">
                  <c:v>43555</c:v>
                </c:pt>
                <c:pt idx="64">
                  <c:v>43585</c:v>
                </c:pt>
                <c:pt idx="65">
                  <c:v>43616</c:v>
                </c:pt>
                <c:pt idx="66">
                  <c:v>43646</c:v>
                </c:pt>
                <c:pt idx="67">
                  <c:v>43677</c:v>
                </c:pt>
                <c:pt idx="68">
                  <c:v>43708</c:v>
                </c:pt>
                <c:pt idx="69">
                  <c:v>43738</c:v>
                </c:pt>
                <c:pt idx="70">
                  <c:v>43769</c:v>
                </c:pt>
                <c:pt idx="71">
                  <c:v>43799</c:v>
                </c:pt>
                <c:pt idx="72">
                  <c:v>43830</c:v>
                </c:pt>
                <c:pt idx="73">
                  <c:v>43861</c:v>
                </c:pt>
                <c:pt idx="74">
                  <c:v>43890</c:v>
                </c:pt>
                <c:pt idx="75">
                  <c:v>43921</c:v>
                </c:pt>
                <c:pt idx="76">
                  <c:v>43951</c:v>
                </c:pt>
                <c:pt idx="77">
                  <c:v>43982</c:v>
                </c:pt>
                <c:pt idx="78">
                  <c:v>44012</c:v>
                </c:pt>
                <c:pt idx="79">
                  <c:v>44043</c:v>
                </c:pt>
                <c:pt idx="80">
                  <c:v>44074</c:v>
                </c:pt>
                <c:pt idx="81">
                  <c:v>44104</c:v>
                </c:pt>
                <c:pt idx="82">
                  <c:v>44135</c:v>
                </c:pt>
                <c:pt idx="83">
                  <c:v>44165</c:v>
                </c:pt>
                <c:pt idx="84">
                  <c:v>44196</c:v>
                </c:pt>
                <c:pt idx="85">
                  <c:v>44227</c:v>
                </c:pt>
                <c:pt idx="86">
                  <c:v>44255</c:v>
                </c:pt>
                <c:pt idx="87">
                  <c:v>44286</c:v>
                </c:pt>
                <c:pt idx="88">
                  <c:v>44316</c:v>
                </c:pt>
                <c:pt idx="89">
                  <c:v>44347</c:v>
                </c:pt>
                <c:pt idx="90">
                  <c:v>44377</c:v>
                </c:pt>
                <c:pt idx="91">
                  <c:v>44408</c:v>
                </c:pt>
                <c:pt idx="92">
                  <c:v>44439</c:v>
                </c:pt>
                <c:pt idx="93">
                  <c:v>44469</c:v>
                </c:pt>
                <c:pt idx="94">
                  <c:v>44500</c:v>
                </c:pt>
                <c:pt idx="95">
                  <c:v>44530</c:v>
                </c:pt>
                <c:pt idx="96">
                  <c:v>44561</c:v>
                </c:pt>
                <c:pt idx="97">
                  <c:v>44592</c:v>
                </c:pt>
                <c:pt idx="98">
                  <c:v>44620</c:v>
                </c:pt>
                <c:pt idx="99">
                  <c:v>44651</c:v>
                </c:pt>
                <c:pt idx="100">
                  <c:v>44681</c:v>
                </c:pt>
                <c:pt idx="101">
                  <c:v>44712</c:v>
                </c:pt>
                <c:pt idx="102">
                  <c:v>44742</c:v>
                </c:pt>
                <c:pt idx="103">
                  <c:v>44773</c:v>
                </c:pt>
                <c:pt idx="104">
                  <c:v>44804</c:v>
                </c:pt>
                <c:pt idx="105">
                  <c:v>44834</c:v>
                </c:pt>
                <c:pt idx="106">
                  <c:v>44865</c:v>
                </c:pt>
                <c:pt idx="107">
                  <c:v>44895</c:v>
                </c:pt>
                <c:pt idx="108">
                  <c:v>44926</c:v>
                </c:pt>
                <c:pt idx="109">
                  <c:v>44957</c:v>
                </c:pt>
                <c:pt idx="110">
                  <c:v>44985</c:v>
                </c:pt>
                <c:pt idx="111">
                  <c:v>45016</c:v>
                </c:pt>
                <c:pt idx="112">
                  <c:v>45046</c:v>
                </c:pt>
                <c:pt idx="113">
                  <c:v>45077</c:v>
                </c:pt>
                <c:pt idx="114">
                  <c:v>45107</c:v>
                </c:pt>
                <c:pt idx="115">
                  <c:v>45138</c:v>
                </c:pt>
                <c:pt idx="116">
                  <c:v>45169</c:v>
                </c:pt>
                <c:pt idx="117">
                  <c:v>45199</c:v>
                </c:pt>
                <c:pt idx="118">
                  <c:v>45230</c:v>
                </c:pt>
                <c:pt idx="119">
                  <c:v>45260</c:v>
                </c:pt>
                <c:pt idx="120">
                  <c:v>45291</c:v>
                </c:pt>
                <c:pt idx="121">
                  <c:v>45322</c:v>
                </c:pt>
                <c:pt idx="122">
                  <c:v>45351</c:v>
                </c:pt>
                <c:pt idx="123">
                  <c:v>45382</c:v>
                </c:pt>
                <c:pt idx="124">
                  <c:v>45412</c:v>
                </c:pt>
                <c:pt idx="125">
                  <c:v>45443</c:v>
                </c:pt>
                <c:pt idx="126">
                  <c:v>45473</c:v>
                </c:pt>
                <c:pt idx="127">
                  <c:v>45504</c:v>
                </c:pt>
                <c:pt idx="128">
                  <c:v>45535</c:v>
                </c:pt>
                <c:pt idx="129">
                  <c:v>45565</c:v>
                </c:pt>
                <c:pt idx="130">
                  <c:v>45596</c:v>
                </c:pt>
                <c:pt idx="131">
                  <c:v>45626</c:v>
                </c:pt>
                <c:pt idx="132">
                  <c:v>45657</c:v>
                </c:pt>
                <c:pt idx="133">
                  <c:v>45688</c:v>
                </c:pt>
                <c:pt idx="134">
                  <c:v>45716</c:v>
                </c:pt>
                <c:pt idx="135">
                  <c:v>45747</c:v>
                </c:pt>
              </c:numCache>
            </c:numRef>
          </c:cat>
          <c:val>
            <c:numRef>
              <c:f>bankratemma!$K$2:$K$137</c:f>
              <c:numCache>
                <c:formatCode>General</c:formatCode>
                <c:ptCount val="136"/>
                <c:pt idx="25">
                  <c:v>0.42413824315696802</c:v>
                </c:pt>
                <c:pt idx="26">
                  <c:v>0.42903704212800653</c:v>
                </c:pt>
                <c:pt idx="27">
                  <c:v>0.42356646234598028</c:v>
                </c:pt>
                <c:pt idx="28">
                  <c:v>0.42587676845844624</c:v>
                </c:pt>
                <c:pt idx="29">
                  <c:v>0.42567158657298942</c:v>
                </c:pt>
                <c:pt idx="30">
                  <c:v>0.43025176552685129</c:v>
                </c:pt>
                <c:pt idx="31">
                  <c:v>0.43830754674356387</c:v>
                </c:pt>
                <c:pt idx="32">
                  <c:v>0.43837318949449594</c:v>
                </c:pt>
                <c:pt idx="33">
                  <c:v>0.43798916282656464</c:v>
                </c:pt>
                <c:pt idx="34">
                  <c:v>0.44132751045698981</c:v>
                </c:pt>
                <c:pt idx="35">
                  <c:v>0.44240626657947307</c:v>
                </c:pt>
                <c:pt idx="36">
                  <c:v>0.49895487250206161</c:v>
                </c:pt>
                <c:pt idx="37">
                  <c:v>0.55080825101991282</c:v>
                </c:pt>
                <c:pt idx="38">
                  <c:v>0.55092290859606852</c:v>
                </c:pt>
                <c:pt idx="39">
                  <c:v>0.60825668573437786</c:v>
                </c:pt>
                <c:pt idx="40">
                  <c:v>0.66069613683141459</c:v>
                </c:pt>
                <c:pt idx="41">
                  <c:v>0.66085610416841767</c:v>
                </c:pt>
                <c:pt idx="42">
                  <c:v>0.72059879486248335</c:v>
                </c:pt>
                <c:pt idx="43">
                  <c:v>0.77097717378193742</c:v>
                </c:pt>
                <c:pt idx="44">
                  <c:v>0.77123785103217757</c:v>
                </c:pt>
                <c:pt idx="45">
                  <c:v>0.77075512015172742</c:v>
                </c:pt>
                <c:pt idx="46">
                  <c:v>0.77107234104225031</c:v>
                </c:pt>
                <c:pt idx="47">
                  <c:v>0.77107234104225031</c:v>
                </c:pt>
                <c:pt idx="48">
                  <c:v>0.83465782532784927</c:v>
                </c:pt>
                <c:pt idx="49">
                  <c:v>0.88732707037526226</c:v>
                </c:pt>
                <c:pt idx="50">
                  <c:v>0.88738327583785326</c:v>
                </c:pt>
                <c:pt idx="51">
                  <c:v>0.92743124064138638</c:v>
                </c:pt>
                <c:pt idx="52">
                  <c:v>1.0118503912454324</c:v>
                </c:pt>
                <c:pt idx="53">
                  <c:v>1.015303859199554</c:v>
                </c:pt>
                <c:pt idx="54">
                  <c:v>1.0702597030015291</c:v>
                </c:pt>
                <c:pt idx="55">
                  <c:v>1.1108781700456847</c:v>
                </c:pt>
                <c:pt idx="56">
                  <c:v>1.1130635381277978</c:v>
                </c:pt>
                <c:pt idx="57">
                  <c:v>1.1286861122493232</c:v>
                </c:pt>
                <c:pt idx="58">
                  <c:v>1.2386373280316316</c:v>
                </c:pt>
                <c:pt idx="59">
                  <c:v>1.2436323266328135</c:v>
                </c:pt>
                <c:pt idx="60">
                  <c:v>1.2750750452919379</c:v>
                </c:pt>
                <c:pt idx="61">
                  <c:v>1.3368006728382626</c:v>
                </c:pt>
                <c:pt idx="62">
                  <c:v>1.3368006728382626</c:v>
                </c:pt>
                <c:pt idx="63">
                  <c:v>1.3385731147810933</c:v>
                </c:pt>
                <c:pt idx="64">
                  <c:v>1.3475902032904852</c:v>
                </c:pt>
                <c:pt idx="65">
                  <c:v>1.333417605756245</c:v>
                </c:pt>
                <c:pt idx="66">
                  <c:v>1.3254075545848654</c:v>
                </c:pt>
                <c:pt idx="67">
                  <c:v>1.3380695551009469</c:v>
                </c:pt>
                <c:pt idx="68">
                  <c:v>1.2095046223682298</c:v>
                </c:pt>
                <c:pt idx="69">
                  <c:v>1.1761590234552448</c:v>
                </c:pt>
                <c:pt idx="70">
                  <c:v>1.0743805630150964</c:v>
                </c:pt>
                <c:pt idx="71">
                  <c:v>0.94868127798523161</c:v>
                </c:pt>
                <c:pt idx="72">
                  <c:v>0.94792426608557645</c:v>
                </c:pt>
                <c:pt idx="73">
                  <c:v>0.9483536102693384</c:v>
                </c:pt>
                <c:pt idx="74">
                  <c:v>0.96268896764554512</c:v>
                </c:pt>
                <c:pt idx="75">
                  <c:v>0.53794270598642302</c:v>
                </c:pt>
                <c:pt idx="76">
                  <c:v>0.28968098353320459</c:v>
                </c:pt>
                <c:pt idx="77">
                  <c:v>0.29026138610760871</c:v>
                </c:pt>
                <c:pt idx="78">
                  <c:v>0.30168220814807456</c:v>
                </c:pt>
                <c:pt idx="79">
                  <c:v>0.30878306678767842</c:v>
                </c:pt>
                <c:pt idx="80">
                  <c:v>0.30933037168878197</c:v>
                </c:pt>
                <c:pt idx="81">
                  <c:v>0.30730018389334851</c:v>
                </c:pt>
                <c:pt idx="82">
                  <c:v>0.30730018389334851</c:v>
                </c:pt>
                <c:pt idx="83">
                  <c:v>0.30595405528895014</c:v>
                </c:pt>
                <c:pt idx="84">
                  <c:v>0.30730018389334851</c:v>
                </c:pt>
                <c:pt idx="85">
                  <c:v>0.30528105294991392</c:v>
                </c:pt>
                <c:pt idx="86">
                  <c:v>0.30124390245154437</c:v>
                </c:pt>
                <c:pt idx="87">
                  <c:v>0.29859228117629005</c:v>
                </c:pt>
                <c:pt idx="88">
                  <c:v>0.29819663152844689</c:v>
                </c:pt>
                <c:pt idx="89">
                  <c:v>0.29430570971837139</c:v>
                </c:pt>
                <c:pt idx="90">
                  <c:v>0.30187588350329819</c:v>
                </c:pt>
                <c:pt idx="91">
                  <c:v>0.31095479156778399</c:v>
                </c:pt>
                <c:pt idx="92">
                  <c:v>0.30865667680591974</c:v>
                </c:pt>
                <c:pt idx="93">
                  <c:v>0.30263217316569069</c:v>
                </c:pt>
                <c:pt idx="94">
                  <c:v>0.30282494311175689</c:v>
                </c:pt>
                <c:pt idx="95">
                  <c:v>0.30282494311175689</c:v>
                </c:pt>
                <c:pt idx="96">
                  <c:v>0.30285273385368178</c:v>
                </c:pt>
                <c:pt idx="97">
                  <c:v>0.30303800853934793</c:v>
                </c:pt>
                <c:pt idx="98">
                  <c:v>0.30303800853934793</c:v>
                </c:pt>
                <c:pt idx="99">
                  <c:v>0.3541070632865943</c:v>
                </c:pt>
                <c:pt idx="100">
                  <c:v>0.41008881176556189</c:v>
                </c:pt>
                <c:pt idx="101">
                  <c:v>0.59602378263563993</c:v>
                </c:pt>
                <c:pt idx="102">
                  <c:v>0.78503858226482448</c:v>
                </c:pt>
                <c:pt idx="103">
                  <c:v>0.99469481059167675</c:v>
                </c:pt>
                <c:pt idx="104">
                  <c:v>1.3042759935682198</c:v>
                </c:pt>
                <c:pt idx="105">
                  <c:v>1.4208182133961307</c:v>
                </c:pt>
                <c:pt idx="106">
                  <c:v>1.6570882257789235</c:v>
                </c:pt>
                <c:pt idx="107">
                  <c:v>1.982762273898321</c:v>
                </c:pt>
                <c:pt idx="108">
                  <c:v>2.1481752250431128</c:v>
                </c:pt>
                <c:pt idx="109">
                  <c:v>2.2662150178161555</c:v>
                </c:pt>
                <c:pt idx="110">
                  <c:v>2.3837720065962391</c:v>
                </c:pt>
                <c:pt idx="111">
                  <c:v>2.4278676970979092</c:v>
                </c:pt>
                <c:pt idx="112">
                  <c:v>2.517143872793405</c:v>
                </c:pt>
                <c:pt idx="113">
                  <c:v>2.6267628965684819</c:v>
                </c:pt>
                <c:pt idx="114">
                  <c:v>2.6419546334150188</c:v>
                </c:pt>
                <c:pt idx="115">
                  <c:v>2.6630217126117848</c:v>
                </c:pt>
                <c:pt idx="116">
                  <c:v>2.7721463535239388</c:v>
                </c:pt>
                <c:pt idx="117">
                  <c:v>2.7721463535239388</c:v>
                </c:pt>
                <c:pt idx="118">
                  <c:v>2.7721463535239388</c:v>
                </c:pt>
                <c:pt idx="119">
                  <c:v>2.7721463535239388</c:v>
                </c:pt>
                <c:pt idx="120">
                  <c:v>2.7721463535239388</c:v>
                </c:pt>
                <c:pt idx="121">
                  <c:v>2.7721463535239388</c:v>
                </c:pt>
                <c:pt idx="122">
                  <c:v>2.7721463535239388</c:v>
                </c:pt>
                <c:pt idx="123">
                  <c:v>2.7721463535239388</c:v>
                </c:pt>
                <c:pt idx="124">
                  <c:v>2.7721463535239388</c:v>
                </c:pt>
                <c:pt idx="125">
                  <c:v>2.7721463535239388</c:v>
                </c:pt>
                <c:pt idx="126">
                  <c:v>2.7721463535239388</c:v>
                </c:pt>
                <c:pt idx="127">
                  <c:v>2.7721463535239388</c:v>
                </c:pt>
                <c:pt idx="128">
                  <c:v>2.7721463535239388</c:v>
                </c:pt>
                <c:pt idx="129">
                  <c:v>2.669660986456341</c:v>
                </c:pt>
                <c:pt idx="130">
                  <c:v>2.517143872793405</c:v>
                </c:pt>
                <c:pt idx="131">
                  <c:v>2.4242189182876026</c:v>
                </c:pt>
                <c:pt idx="132">
                  <c:v>2.3434442087404062</c:v>
                </c:pt>
                <c:pt idx="133">
                  <c:v>2.2662150178161555</c:v>
                </c:pt>
                <c:pt idx="134">
                  <c:v>2.2662150178161555</c:v>
                </c:pt>
                <c:pt idx="135">
                  <c:v>2.2662150178161555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2A-43C0-BD07-F715CD95AD32}"/>
            </c:ext>
          </c:extLst>
        </c:ser>
        <c:ser>
          <c:idx val="3"/>
          <c:order val="3"/>
          <c:tx>
            <c:strRef>
              <c:f>bankratemma!$L$1</c:f>
              <c:strCache>
                <c:ptCount val="1"/>
                <c:pt idx="0">
                  <c:v>Static Beta Model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bankratemma!$A$2:$A$137</c:f>
              <c:numCache>
                <c:formatCode>m/d/yyyy</c:formatCode>
                <c:ptCount val="136"/>
                <c:pt idx="0">
                  <c:v>41639</c:v>
                </c:pt>
                <c:pt idx="1">
                  <c:v>41670</c:v>
                </c:pt>
                <c:pt idx="2">
                  <c:v>41698</c:v>
                </c:pt>
                <c:pt idx="3">
                  <c:v>41729</c:v>
                </c:pt>
                <c:pt idx="4">
                  <c:v>41759</c:v>
                </c:pt>
                <c:pt idx="5">
                  <c:v>41790</c:v>
                </c:pt>
                <c:pt idx="6">
                  <c:v>41820</c:v>
                </c:pt>
                <c:pt idx="7">
                  <c:v>41851</c:v>
                </c:pt>
                <c:pt idx="8">
                  <c:v>41882</c:v>
                </c:pt>
                <c:pt idx="9">
                  <c:v>41912</c:v>
                </c:pt>
                <c:pt idx="10">
                  <c:v>41943</c:v>
                </c:pt>
                <c:pt idx="11">
                  <c:v>41973</c:v>
                </c:pt>
                <c:pt idx="12">
                  <c:v>42004</c:v>
                </c:pt>
                <c:pt idx="13">
                  <c:v>42035</c:v>
                </c:pt>
                <c:pt idx="14">
                  <c:v>42063</c:v>
                </c:pt>
                <c:pt idx="15">
                  <c:v>42094</c:v>
                </c:pt>
                <c:pt idx="16">
                  <c:v>42124</c:v>
                </c:pt>
                <c:pt idx="17">
                  <c:v>42155</c:v>
                </c:pt>
                <c:pt idx="18">
                  <c:v>42185</c:v>
                </c:pt>
                <c:pt idx="19">
                  <c:v>42216</c:v>
                </c:pt>
                <c:pt idx="20">
                  <c:v>42247</c:v>
                </c:pt>
                <c:pt idx="21">
                  <c:v>42277</c:v>
                </c:pt>
                <c:pt idx="22">
                  <c:v>42308</c:v>
                </c:pt>
                <c:pt idx="23">
                  <c:v>42338</c:v>
                </c:pt>
                <c:pt idx="24">
                  <c:v>42369</c:v>
                </c:pt>
                <c:pt idx="25">
                  <c:v>42400</c:v>
                </c:pt>
                <c:pt idx="26">
                  <c:v>42429</c:v>
                </c:pt>
                <c:pt idx="27">
                  <c:v>42460</c:v>
                </c:pt>
                <c:pt idx="28">
                  <c:v>42490</c:v>
                </c:pt>
                <c:pt idx="29">
                  <c:v>42521</c:v>
                </c:pt>
                <c:pt idx="30">
                  <c:v>42551</c:v>
                </c:pt>
                <c:pt idx="31">
                  <c:v>42582</c:v>
                </c:pt>
                <c:pt idx="32">
                  <c:v>42613</c:v>
                </c:pt>
                <c:pt idx="33">
                  <c:v>42643</c:v>
                </c:pt>
                <c:pt idx="34">
                  <c:v>42674</c:v>
                </c:pt>
                <c:pt idx="35">
                  <c:v>42704</c:v>
                </c:pt>
                <c:pt idx="36">
                  <c:v>42735</c:v>
                </c:pt>
                <c:pt idx="37">
                  <c:v>42766</c:v>
                </c:pt>
                <c:pt idx="38">
                  <c:v>42794</c:v>
                </c:pt>
                <c:pt idx="39">
                  <c:v>42825</c:v>
                </c:pt>
                <c:pt idx="40">
                  <c:v>42855</c:v>
                </c:pt>
                <c:pt idx="41">
                  <c:v>42886</c:v>
                </c:pt>
                <c:pt idx="42">
                  <c:v>42916</c:v>
                </c:pt>
                <c:pt idx="43">
                  <c:v>42947</c:v>
                </c:pt>
                <c:pt idx="44">
                  <c:v>42978</c:v>
                </c:pt>
                <c:pt idx="45">
                  <c:v>43008</c:v>
                </c:pt>
                <c:pt idx="46">
                  <c:v>43039</c:v>
                </c:pt>
                <c:pt idx="47">
                  <c:v>43069</c:v>
                </c:pt>
                <c:pt idx="48">
                  <c:v>43100</c:v>
                </c:pt>
                <c:pt idx="49">
                  <c:v>43131</c:v>
                </c:pt>
                <c:pt idx="50">
                  <c:v>43159</c:v>
                </c:pt>
                <c:pt idx="51">
                  <c:v>43190</c:v>
                </c:pt>
                <c:pt idx="52">
                  <c:v>43220</c:v>
                </c:pt>
                <c:pt idx="53">
                  <c:v>43251</c:v>
                </c:pt>
                <c:pt idx="54">
                  <c:v>43281</c:v>
                </c:pt>
                <c:pt idx="55">
                  <c:v>43312</c:v>
                </c:pt>
                <c:pt idx="56">
                  <c:v>43343</c:v>
                </c:pt>
                <c:pt idx="57">
                  <c:v>43373</c:v>
                </c:pt>
                <c:pt idx="58">
                  <c:v>43404</c:v>
                </c:pt>
                <c:pt idx="59">
                  <c:v>43434</c:v>
                </c:pt>
                <c:pt idx="60">
                  <c:v>43465</c:v>
                </c:pt>
                <c:pt idx="61">
                  <c:v>43496</c:v>
                </c:pt>
                <c:pt idx="62">
                  <c:v>43524</c:v>
                </c:pt>
                <c:pt idx="63">
                  <c:v>43555</c:v>
                </c:pt>
                <c:pt idx="64">
                  <c:v>43585</c:v>
                </c:pt>
                <c:pt idx="65">
                  <c:v>43616</c:v>
                </c:pt>
                <c:pt idx="66">
                  <c:v>43646</c:v>
                </c:pt>
                <c:pt idx="67">
                  <c:v>43677</c:v>
                </c:pt>
                <c:pt idx="68">
                  <c:v>43708</c:v>
                </c:pt>
                <c:pt idx="69">
                  <c:v>43738</c:v>
                </c:pt>
                <c:pt idx="70">
                  <c:v>43769</c:v>
                </c:pt>
                <c:pt idx="71">
                  <c:v>43799</c:v>
                </c:pt>
                <c:pt idx="72">
                  <c:v>43830</c:v>
                </c:pt>
                <c:pt idx="73">
                  <c:v>43861</c:v>
                </c:pt>
                <c:pt idx="74">
                  <c:v>43890</c:v>
                </c:pt>
                <c:pt idx="75">
                  <c:v>43921</c:v>
                </c:pt>
                <c:pt idx="76">
                  <c:v>43951</c:v>
                </c:pt>
                <c:pt idx="77">
                  <c:v>43982</c:v>
                </c:pt>
                <c:pt idx="78">
                  <c:v>44012</c:v>
                </c:pt>
                <c:pt idx="79">
                  <c:v>44043</c:v>
                </c:pt>
                <c:pt idx="80">
                  <c:v>44074</c:v>
                </c:pt>
                <c:pt idx="81">
                  <c:v>44104</c:v>
                </c:pt>
                <c:pt idx="82">
                  <c:v>44135</c:v>
                </c:pt>
                <c:pt idx="83">
                  <c:v>44165</c:v>
                </c:pt>
                <c:pt idx="84">
                  <c:v>44196</c:v>
                </c:pt>
                <c:pt idx="85">
                  <c:v>44227</c:v>
                </c:pt>
                <c:pt idx="86">
                  <c:v>44255</c:v>
                </c:pt>
                <c:pt idx="87">
                  <c:v>44286</c:v>
                </c:pt>
                <c:pt idx="88">
                  <c:v>44316</c:v>
                </c:pt>
                <c:pt idx="89">
                  <c:v>44347</c:v>
                </c:pt>
                <c:pt idx="90">
                  <c:v>44377</c:v>
                </c:pt>
                <c:pt idx="91">
                  <c:v>44408</c:v>
                </c:pt>
                <c:pt idx="92">
                  <c:v>44439</c:v>
                </c:pt>
                <c:pt idx="93">
                  <c:v>44469</c:v>
                </c:pt>
                <c:pt idx="94">
                  <c:v>44500</c:v>
                </c:pt>
                <c:pt idx="95">
                  <c:v>44530</c:v>
                </c:pt>
                <c:pt idx="96">
                  <c:v>44561</c:v>
                </c:pt>
                <c:pt idx="97">
                  <c:v>44592</c:v>
                </c:pt>
                <c:pt idx="98">
                  <c:v>44620</c:v>
                </c:pt>
                <c:pt idx="99">
                  <c:v>44651</c:v>
                </c:pt>
                <c:pt idx="100">
                  <c:v>44681</c:v>
                </c:pt>
                <c:pt idx="101">
                  <c:v>44712</c:v>
                </c:pt>
                <c:pt idx="102">
                  <c:v>44742</c:v>
                </c:pt>
                <c:pt idx="103">
                  <c:v>44773</c:v>
                </c:pt>
                <c:pt idx="104">
                  <c:v>44804</c:v>
                </c:pt>
                <c:pt idx="105">
                  <c:v>44834</c:v>
                </c:pt>
                <c:pt idx="106">
                  <c:v>44865</c:v>
                </c:pt>
                <c:pt idx="107">
                  <c:v>44895</c:v>
                </c:pt>
                <c:pt idx="108">
                  <c:v>44926</c:v>
                </c:pt>
                <c:pt idx="109">
                  <c:v>44957</c:v>
                </c:pt>
                <c:pt idx="110">
                  <c:v>44985</c:v>
                </c:pt>
                <c:pt idx="111">
                  <c:v>45016</c:v>
                </c:pt>
                <c:pt idx="112">
                  <c:v>45046</c:v>
                </c:pt>
                <c:pt idx="113">
                  <c:v>45077</c:v>
                </c:pt>
                <c:pt idx="114">
                  <c:v>45107</c:v>
                </c:pt>
                <c:pt idx="115">
                  <c:v>45138</c:v>
                </c:pt>
                <c:pt idx="116">
                  <c:v>45169</c:v>
                </c:pt>
                <c:pt idx="117">
                  <c:v>45199</c:v>
                </c:pt>
                <c:pt idx="118">
                  <c:v>45230</c:v>
                </c:pt>
                <c:pt idx="119">
                  <c:v>45260</c:v>
                </c:pt>
                <c:pt idx="120">
                  <c:v>45291</c:v>
                </c:pt>
                <c:pt idx="121">
                  <c:v>45322</c:v>
                </c:pt>
                <c:pt idx="122">
                  <c:v>45351</c:v>
                </c:pt>
                <c:pt idx="123">
                  <c:v>45382</c:v>
                </c:pt>
                <c:pt idx="124">
                  <c:v>45412</c:v>
                </c:pt>
                <c:pt idx="125">
                  <c:v>45443</c:v>
                </c:pt>
                <c:pt idx="126">
                  <c:v>45473</c:v>
                </c:pt>
                <c:pt idx="127">
                  <c:v>45504</c:v>
                </c:pt>
                <c:pt idx="128">
                  <c:v>45535</c:v>
                </c:pt>
                <c:pt idx="129">
                  <c:v>45565</c:v>
                </c:pt>
                <c:pt idx="130">
                  <c:v>45596</c:v>
                </c:pt>
                <c:pt idx="131">
                  <c:v>45626</c:v>
                </c:pt>
                <c:pt idx="132">
                  <c:v>45657</c:v>
                </c:pt>
                <c:pt idx="133">
                  <c:v>45688</c:v>
                </c:pt>
                <c:pt idx="134">
                  <c:v>45716</c:v>
                </c:pt>
                <c:pt idx="135">
                  <c:v>45747</c:v>
                </c:pt>
              </c:numCache>
            </c:numRef>
          </c:cat>
          <c:val>
            <c:numRef>
              <c:f>bankratemma!$L$2:$L$137</c:f>
              <c:numCache>
                <c:formatCode>General</c:formatCode>
                <c:ptCount val="136"/>
                <c:pt idx="25">
                  <c:v>0.43377168024115975</c:v>
                </c:pt>
                <c:pt idx="26">
                  <c:v>0.4389705046513136</c:v>
                </c:pt>
                <c:pt idx="27">
                  <c:v>0.43316473219439822</c:v>
                </c:pt>
                <c:pt idx="28">
                  <c:v>0.43561694212858626</c:v>
                </c:pt>
                <c:pt idx="29">
                  <c:v>0.43539917807897061</c:v>
                </c:pt>
                <c:pt idx="30">
                  <c:v>0.4402592705559063</c:v>
                </c:pt>
                <c:pt idx="31">
                  <c:v>0.44880254067622039</c:v>
                </c:pt>
                <c:pt idx="32">
                  <c:v>0.44887213045529273</c:v>
                </c:pt>
                <c:pt idx="33">
                  <c:v>0.44846500687948537</c:v>
                </c:pt>
                <c:pt idx="34">
                  <c:v>0.45200366868432962</c:v>
                </c:pt>
                <c:pt idx="35">
                  <c:v>0.45314692868722573</c:v>
                </c:pt>
                <c:pt idx="36">
                  <c:v>0.51292309468359654</c:v>
                </c:pt>
                <c:pt idx="37">
                  <c:v>0.56747292897683987</c:v>
                </c:pt>
                <c:pt idx="38">
                  <c:v>0.56759327218317679</c:v>
                </c:pt>
                <c:pt idx="39">
                  <c:v>0.62761834646085812</c:v>
                </c:pt>
                <c:pt idx="40">
                  <c:v>0.68225623326761253</c:v>
                </c:pt>
                <c:pt idx="41">
                  <c:v>0.68242252546537774</c:v>
                </c:pt>
                <c:pt idx="42">
                  <c:v>0.74436643132628</c:v>
                </c:pt>
                <c:pt idx="43">
                  <c:v>0.79635358155664737</c:v>
                </c:pt>
                <c:pt idx="44">
                  <c:v>0.79662199934125544</c:v>
                </c:pt>
                <c:pt idx="45">
                  <c:v>0.79612492955606817</c:v>
                </c:pt>
                <c:pt idx="46">
                  <c:v>0.79645157540183964</c:v>
                </c:pt>
                <c:pt idx="47">
                  <c:v>0.79645157540183964</c:v>
                </c:pt>
                <c:pt idx="48">
                  <c:v>0.86174805372230667</c:v>
                </c:pt>
                <c:pt idx="49">
                  <c:v>0.91556837929534995</c:v>
                </c:pt>
                <c:pt idx="50">
                  <c:v>0.91562568543164724</c:v>
                </c:pt>
                <c:pt idx="51">
                  <c:v>0.95638919520873467</c:v>
                </c:pt>
                <c:pt idx="52">
                  <c:v>1.0418713890520088</c:v>
                </c:pt>
                <c:pt idx="53">
                  <c:v>1.0453556101874271</c:v>
                </c:pt>
                <c:pt idx="54">
                  <c:v>1.100667617968369</c:v>
                </c:pt>
                <c:pt idx="55">
                  <c:v>1.1413894504307029</c:v>
                </c:pt>
                <c:pt idx="56">
                  <c:v>1.1435765566623792</c:v>
                </c:pt>
                <c:pt idx="57">
                  <c:v>1.1592002376516937</c:v>
                </c:pt>
                <c:pt idx="58">
                  <c:v>1.2686031088516363</c:v>
                </c:pt>
                <c:pt idx="59">
                  <c:v>1.2735503067654967</c:v>
                </c:pt>
                <c:pt idx="60">
                  <c:v>1.3046469788442718</c:v>
                </c:pt>
                <c:pt idx="61">
                  <c:v>1.3654684109983468</c:v>
                </c:pt>
                <c:pt idx="62">
                  <c:v>1.3654684109983468</c:v>
                </c:pt>
                <c:pt idx="63">
                  <c:v>1.3672105215660557</c:v>
                </c:pt>
                <c:pt idx="64">
                  <c:v>1.3760695491238737</c:v>
                </c:pt>
                <c:pt idx="65">
                  <c:v>1.3621425638419136</c:v>
                </c:pt>
                <c:pt idx="66">
                  <c:v>1.3542644629699647</c:v>
                </c:pt>
                <c:pt idx="67">
                  <c:v>1.366715603853498</c:v>
                </c:pt>
                <c:pt idx="68">
                  <c:v>1.2397098106797713</c:v>
                </c:pt>
                <c:pt idx="69">
                  <c:v>1.2065552705957829</c:v>
                </c:pt>
                <c:pt idx="70">
                  <c:v>1.1048051303380264</c:v>
                </c:pt>
                <c:pt idx="71">
                  <c:v>0.97796344161972315</c:v>
                </c:pt>
                <c:pt idx="72">
                  <c:v>0.97719553765558587</c:v>
                </c:pt>
                <c:pt idx="73">
                  <c:v>0.97763106529751309</c:v>
                </c:pt>
                <c:pt idx="74">
                  <c:v>0.99216393447982421</c:v>
                </c:pt>
                <c:pt idx="75">
                  <c:v>0.55396167418929276</c:v>
                </c:pt>
                <c:pt idx="76">
                  <c:v>0.29018041207704992</c:v>
                </c:pt>
                <c:pt idx="77">
                  <c:v>0.29080400827597364</c:v>
                </c:pt>
                <c:pt idx="78">
                  <c:v>0.30306807020836934</c:v>
                </c:pt>
                <c:pt idx="79">
                  <c:v>0.31068679099468532</c:v>
                </c:pt>
                <c:pt idx="80">
                  <c:v>0.31127380653194836</c:v>
                </c:pt>
                <c:pt idx="81">
                  <c:v>0.3090961683223119</c:v>
                </c:pt>
                <c:pt idx="82">
                  <c:v>0.3090961683223119</c:v>
                </c:pt>
                <c:pt idx="83">
                  <c:v>0.30765205030357362</c:v>
                </c:pt>
                <c:pt idx="84">
                  <c:v>0.3090961683223119</c:v>
                </c:pt>
                <c:pt idx="85">
                  <c:v>0.30692999152285649</c:v>
                </c:pt>
                <c:pt idx="86">
                  <c:v>0.30259763792394567</c:v>
                </c:pt>
                <c:pt idx="87">
                  <c:v>0.2997512602936071</c:v>
                </c:pt>
                <c:pt idx="88">
                  <c:v>0.29932649210021905</c:v>
                </c:pt>
                <c:pt idx="89">
                  <c:v>0.29514839628697898</c:v>
                </c:pt>
                <c:pt idx="90">
                  <c:v>0.30327593545557591</c:v>
                </c:pt>
                <c:pt idx="91">
                  <c:v>0.31301591709965754</c:v>
                </c:pt>
                <c:pt idx="92">
                  <c:v>0.31055122642466992</c:v>
                </c:pt>
                <c:pt idx="93">
                  <c:v>0.30408760066880008</c:v>
                </c:pt>
                <c:pt idx="94">
                  <c:v>0.30429447631014811</c:v>
                </c:pt>
                <c:pt idx="95">
                  <c:v>0.30429447631014811</c:v>
                </c:pt>
                <c:pt idx="96">
                  <c:v>0.3043243003051917</c:v>
                </c:pt>
                <c:pt idx="97">
                  <c:v>0.30452312831072736</c:v>
                </c:pt>
                <c:pt idx="98">
                  <c:v>0.30452312831072736</c:v>
                </c:pt>
                <c:pt idx="99">
                  <c:v>0.35920078044420645</c:v>
                </c:pt>
                <c:pt idx="100">
                  <c:v>0.41884912860034151</c:v>
                </c:pt>
                <c:pt idx="101">
                  <c:v>0.61483655786423896</c:v>
                </c:pt>
                <c:pt idx="102">
                  <c:v>0.81082398667083233</c:v>
                </c:pt>
                <c:pt idx="103">
                  <c:v>1.0245482781347173</c:v>
                </c:pt>
                <c:pt idx="104">
                  <c:v>1.3334571309172549</c:v>
                </c:pt>
                <c:pt idx="105">
                  <c:v>1.4477831312068687</c:v>
                </c:pt>
                <c:pt idx="106">
                  <c:v>1.6764351317860973</c:v>
                </c:pt>
                <c:pt idx="107">
                  <c:v>1.9851153325680553</c:v>
                </c:pt>
                <c:pt idx="108">
                  <c:v>2.1391832282399932</c:v>
                </c:pt>
                <c:pt idx="109">
                  <c:v>2.2480651332341681</c:v>
                </c:pt>
                <c:pt idx="110">
                  <c:v>2.3556519167127417</c:v>
                </c:pt>
                <c:pt idx="111">
                  <c:v>2.3957942082717114</c:v>
                </c:pt>
                <c:pt idx="112">
                  <c:v>2.4767171338133962</c:v>
                </c:pt>
                <c:pt idx="113">
                  <c:v>2.5754532250141815</c:v>
                </c:pt>
                <c:pt idx="114">
                  <c:v>2.5890832599429894</c:v>
                </c:pt>
                <c:pt idx="115">
                  <c:v>2.607963382145873</c:v>
                </c:pt>
                <c:pt idx="116">
                  <c:v>2.7053691343926243</c:v>
                </c:pt>
                <c:pt idx="117">
                  <c:v>2.7053691343926243</c:v>
                </c:pt>
                <c:pt idx="118">
                  <c:v>2.7053691343926243</c:v>
                </c:pt>
                <c:pt idx="119">
                  <c:v>2.7053691343926243</c:v>
                </c:pt>
                <c:pt idx="120">
                  <c:v>2.7053691343926243</c:v>
                </c:pt>
                <c:pt idx="121">
                  <c:v>2.7053691343926243</c:v>
                </c:pt>
                <c:pt idx="122">
                  <c:v>2.7053691343926243</c:v>
                </c:pt>
                <c:pt idx="123">
                  <c:v>2.7053691343926243</c:v>
                </c:pt>
                <c:pt idx="124">
                  <c:v>2.7053691343926243</c:v>
                </c:pt>
                <c:pt idx="125">
                  <c:v>2.7053691343926243</c:v>
                </c:pt>
                <c:pt idx="126">
                  <c:v>2.7053691343926243</c:v>
                </c:pt>
                <c:pt idx="127">
                  <c:v>2.7053691343926243</c:v>
                </c:pt>
                <c:pt idx="128">
                  <c:v>2.7053691343926243</c:v>
                </c:pt>
                <c:pt idx="129">
                  <c:v>2.613908334160933</c:v>
                </c:pt>
                <c:pt idx="130">
                  <c:v>2.4767171338133962</c:v>
                </c:pt>
                <c:pt idx="131">
                  <c:v>2.392476923218092</c:v>
                </c:pt>
                <c:pt idx="132">
                  <c:v>2.3188383716175727</c:v>
                </c:pt>
                <c:pt idx="133">
                  <c:v>2.2480651332341681</c:v>
                </c:pt>
                <c:pt idx="134">
                  <c:v>2.2480651332341681</c:v>
                </c:pt>
                <c:pt idx="135">
                  <c:v>2.2480651332341681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2A-43C0-BD07-F715CD95A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824896"/>
        <c:axId val="2053823936"/>
      </c:lineChart>
      <c:dateAx>
        <c:axId val="20538248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823936"/>
        <c:crosses val="autoZero"/>
        <c:auto val="1"/>
        <c:lblOffset val="100"/>
        <c:baseTimeUnit val="months"/>
      </c:dateAx>
      <c:valAx>
        <c:axId val="20538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824896"/>
        <c:crosses val="autoZero"/>
        <c:crossBetween val="between"/>
      </c:valAx>
      <c:valAx>
        <c:axId val="71615455"/>
        <c:scaling>
          <c:orientation val="minMax"/>
        </c:scaling>
        <c:delete val="0"/>
        <c:axPos val="r"/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4975"/>
        <c:crosses val="max"/>
        <c:crossBetween val="between"/>
        <c:majorUnit val="5.000000000000001E-2"/>
        <c:minorUnit val="1.0000000000000002E-2"/>
      </c:valAx>
      <c:catAx>
        <c:axId val="71614975"/>
        <c:scaling>
          <c:orientation val="minMax"/>
        </c:scaling>
        <c:delete val="1"/>
        <c:axPos val="b"/>
        <c:majorTickMark val="out"/>
        <c:minorTickMark val="none"/>
        <c:tickLblPos val="nextTo"/>
        <c:crossAx val="71615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976312</xdr:colOff>
      <xdr:row>19</xdr:row>
      <xdr:rowOff>19050</xdr:rowOff>
    </xdr:from>
    <xdr:to>
      <xdr:col>18</xdr:col>
      <xdr:colOff>433387</xdr:colOff>
      <xdr:row>33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C516E1-1055-E68C-ACEF-2162F7DE3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128587</xdr:colOff>
      <xdr:row>21</xdr:row>
      <xdr:rowOff>28581</xdr:rowOff>
    </xdr:from>
    <xdr:to>
      <xdr:col>27</xdr:col>
      <xdr:colOff>433387</xdr:colOff>
      <xdr:row>35</xdr:row>
      <xdr:rowOff>104781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9B2E0-0A50-9DD4-5B9E-DA51046890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19049</xdr:colOff>
      <xdr:row>2</xdr:row>
      <xdr:rowOff>9525</xdr:rowOff>
    </xdr:from>
    <xdr:to>
      <xdr:col>29</xdr:col>
      <xdr:colOff>428624</xdr:colOff>
      <xdr:row>18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E0C47D-74EE-4917-94CD-89831C990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81464F-183C-4C91-A435-09F85BCA40E2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45D1A-197E-4FEC-BDA8-F35004432AB1}">
  <dimension ref="A1:S137"/>
  <sheetViews>
    <sheetView tabSelected="1" topLeftCell="I1" workbookViewId="0">
      <pane ySplit="1" topLeftCell="A2" activePane="bottomLeft" state="frozen"/>
      <selection pane="bottomLeft" activeCell="Q17" sqref="Q17"/>
    </sheetView>
  </sheetViews>
  <sheetFormatPr defaultRowHeight="15" x14ac:dyDescent="0.25"/>
  <cols>
    <col min="1" max="1" width="10.42578125" bestFit="1" customWidth="1"/>
    <col min="15" max="16" width="16" customWidth="1"/>
    <col min="17" max="17" width="35.5703125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22</v>
      </c>
      <c r="L1" t="s">
        <v>21</v>
      </c>
      <c r="M1" t="s">
        <v>23</v>
      </c>
    </row>
    <row r="2" spans="1:19" x14ac:dyDescent="0.25">
      <c r="A2" s="1">
        <v>41639</v>
      </c>
      <c r="B2">
        <v>0.44909090899999998</v>
      </c>
      <c r="C2">
        <v>8.6190476000000002E-2</v>
      </c>
      <c r="D2">
        <v>0.12794090899999999</v>
      </c>
      <c r="E2">
        <v>0.13079523800000001</v>
      </c>
      <c r="F2">
        <v>0.36047618999999997</v>
      </c>
      <c r="G2">
        <v>0.64029523799999999</v>
      </c>
      <c r="H2">
        <v>0.22968095199999999</v>
      </c>
      <c r="I2">
        <v>0.50949999999999995</v>
      </c>
      <c r="J2">
        <f>$P$11+($P$12-$P$11)/(1+EXP(-$P$13*(C2-$P$14)))</f>
        <v>0.42552617146789473</v>
      </c>
      <c r="M2">
        <f t="shared" ref="M2:M66" si="0">B2/C2</f>
        <v>5.2104470220120369</v>
      </c>
    </row>
    <row r="3" spans="1:19" x14ac:dyDescent="0.25">
      <c r="A3" s="1">
        <v>41670</v>
      </c>
      <c r="B3">
        <v>0.45434782600000001</v>
      </c>
      <c r="C3">
        <v>7.1428570999999996E-2</v>
      </c>
      <c r="D3">
        <v>0.12316521699999999</v>
      </c>
      <c r="E3">
        <v>0.127915217</v>
      </c>
      <c r="F3">
        <v>0.33571428599999997</v>
      </c>
      <c r="G3">
        <v>0.65954285700000004</v>
      </c>
      <c r="H3">
        <v>0.207799068</v>
      </c>
      <c r="I3">
        <v>0.53162763999999996</v>
      </c>
      <c r="J3">
        <f t="shared" ref="J3:J66" si="1">$P$11+($P$12-$P$11)/(1+EXP(-$P$13*(C3-$P$14)))</f>
        <v>0.42540441137449769</v>
      </c>
      <c r="M3">
        <f t="shared" si="0"/>
        <v>6.3608696021652182</v>
      </c>
    </row>
    <row r="4" spans="1:19" x14ac:dyDescent="0.25">
      <c r="A4" s="1">
        <v>41698</v>
      </c>
      <c r="B4">
        <v>0.45750000000000002</v>
      </c>
      <c r="C4">
        <v>6.7368420999999998E-2</v>
      </c>
      <c r="D4">
        <v>0.11650000000000001</v>
      </c>
      <c r="E4">
        <v>0.1177975</v>
      </c>
      <c r="F4">
        <v>0.34421052600000002</v>
      </c>
      <c r="G4">
        <v>0.58121052600000001</v>
      </c>
      <c r="H4">
        <v>0.22641302599999999</v>
      </c>
      <c r="I4">
        <v>0.46341302600000001</v>
      </c>
      <c r="J4">
        <f t="shared" si="1"/>
        <v>0.42537092801661186</v>
      </c>
      <c r="M4">
        <f t="shared" si="0"/>
        <v>6.7910156303054814</v>
      </c>
    </row>
    <row r="5" spans="1:19" x14ac:dyDescent="0.25">
      <c r="A5" s="1">
        <v>41729</v>
      </c>
      <c r="B5">
        <v>0.45571428600000002</v>
      </c>
      <c r="C5">
        <v>7.9047619E-2</v>
      </c>
      <c r="D5">
        <v>0.121671429</v>
      </c>
      <c r="E5">
        <v>0.123664286</v>
      </c>
      <c r="F5">
        <v>0.33857142899999998</v>
      </c>
      <c r="G5">
        <v>0.60727618999999999</v>
      </c>
      <c r="H5">
        <v>0.21490714299999999</v>
      </c>
      <c r="I5">
        <v>0.48361190500000001</v>
      </c>
      <c r="J5">
        <f t="shared" si="1"/>
        <v>0.42546725114757283</v>
      </c>
      <c r="M5">
        <f t="shared" si="0"/>
        <v>5.7650602480512418</v>
      </c>
    </row>
    <row r="6" spans="1:19" x14ac:dyDescent="0.25">
      <c r="A6" s="1">
        <v>41759</v>
      </c>
      <c r="B6">
        <v>0.44545454499999998</v>
      </c>
      <c r="C6">
        <v>9.0454544999999997E-2</v>
      </c>
      <c r="D6">
        <v>0.12630454499999999</v>
      </c>
      <c r="E6">
        <v>0.12677142899999999</v>
      </c>
      <c r="F6">
        <v>0.32727272699999999</v>
      </c>
      <c r="G6">
        <v>0.59402381000000004</v>
      </c>
      <c r="H6">
        <v>0.20050129899999999</v>
      </c>
      <c r="I6">
        <v>0.46725238099999999</v>
      </c>
      <c r="J6">
        <f t="shared" si="1"/>
        <v>0.42556134881222807</v>
      </c>
      <c r="M6">
        <f t="shared" si="0"/>
        <v>4.9246231352996137</v>
      </c>
    </row>
    <row r="7" spans="1:19" x14ac:dyDescent="0.25">
      <c r="A7" s="1">
        <v>41790</v>
      </c>
      <c r="B7">
        <v>0.46272727299999999</v>
      </c>
      <c r="C7">
        <v>8.7142857000000004E-2</v>
      </c>
      <c r="D7">
        <v>0.13057619000000001</v>
      </c>
      <c r="E7">
        <v>0.13364047600000001</v>
      </c>
      <c r="F7">
        <v>0.32571428600000002</v>
      </c>
      <c r="G7">
        <v>0.60464761899999997</v>
      </c>
      <c r="H7">
        <v>0.19207381000000001</v>
      </c>
      <c r="I7">
        <v>0.47100714300000002</v>
      </c>
      <c r="J7">
        <f t="shared" si="1"/>
        <v>0.42553402809784147</v>
      </c>
      <c r="M7">
        <f t="shared" si="0"/>
        <v>5.3099851087048933</v>
      </c>
    </row>
    <row r="8" spans="1:19" ht="15.75" thickBot="1" x14ac:dyDescent="0.3">
      <c r="A8" s="1">
        <v>41820</v>
      </c>
      <c r="B8">
        <v>0.47523809500000003</v>
      </c>
      <c r="C8">
        <v>9.5714285999999996E-2</v>
      </c>
      <c r="D8">
        <v>0.13793333299999999</v>
      </c>
      <c r="E8">
        <v>0.140771429</v>
      </c>
      <c r="F8">
        <v>0.34333333300000002</v>
      </c>
      <c r="G8">
        <v>0.65525238100000005</v>
      </c>
      <c r="H8">
        <v>0.20256190499999999</v>
      </c>
      <c r="I8">
        <v>0.51448095199999999</v>
      </c>
      <c r="J8">
        <f t="shared" si="1"/>
        <v>0.42560474396835474</v>
      </c>
      <c r="M8">
        <f t="shared" si="0"/>
        <v>4.9651741120442567</v>
      </c>
    </row>
    <row r="9" spans="1:19" ht="15.75" thickBot="1" x14ac:dyDescent="0.3">
      <c r="A9" s="1">
        <v>41851</v>
      </c>
      <c r="B9">
        <v>0.51086956500000003</v>
      </c>
      <c r="C9">
        <v>9.1363635999999998E-2</v>
      </c>
      <c r="D9">
        <v>0.135804545</v>
      </c>
      <c r="E9">
        <v>0.13818181800000001</v>
      </c>
      <c r="F9">
        <v>0.35181818199999998</v>
      </c>
      <c r="G9">
        <v>0.65706363599999995</v>
      </c>
      <c r="H9">
        <v>0.213636364</v>
      </c>
      <c r="I9">
        <v>0.51888181799999999</v>
      </c>
      <c r="J9">
        <f t="shared" si="1"/>
        <v>0.42556884890910818</v>
      </c>
      <c r="M9">
        <f t="shared" si="0"/>
        <v>5.591607201359631</v>
      </c>
      <c r="O9" s="2" t="s">
        <v>10</v>
      </c>
      <c r="P9" s="3" t="s">
        <v>11</v>
      </c>
      <c r="Q9" s="3" t="s">
        <v>12</v>
      </c>
      <c r="R9" s="3" t="s">
        <v>13</v>
      </c>
      <c r="S9" s="3" t="s">
        <v>14</v>
      </c>
    </row>
    <row r="10" spans="1:19" ht="15.75" thickBot="1" x14ac:dyDescent="0.3">
      <c r="A10" s="1">
        <v>41882</v>
      </c>
      <c r="B10">
        <v>0.51380952400000002</v>
      </c>
      <c r="C10">
        <v>8.9047618999999995E-2</v>
      </c>
      <c r="D10">
        <v>0.13243333299999999</v>
      </c>
      <c r="E10">
        <v>0.133783333</v>
      </c>
      <c r="F10">
        <v>0.34619047600000002</v>
      </c>
      <c r="G10">
        <v>0.59205714300000001</v>
      </c>
      <c r="H10">
        <v>0.21240714299999999</v>
      </c>
      <c r="I10">
        <v>0.45827381</v>
      </c>
      <c r="J10">
        <f t="shared" si="1"/>
        <v>0.42554974177142751</v>
      </c>
      <c r="M10">
        <f t="shared" si="0"/>
        <v>5.7700534811604571</v>
      </c>
      <c r="O10" s="4" t="s">
        <v>15</v>
      </c>
      <c r="P10" s="5">
        <v>0.26900000000000002</v>
      </c>
      <c r="Q10" s="5">
        <v>0.02</v>
      </c>
      <c r="R10" s="5">
        <v>18.7</v>
      </c>
      <c r="S10" s="5" t="s">
        <v>16</v>
      </c>
    </row>
    <row r="11" spans="1:19" ht="15.75" thickBot="1" x14ac:dyDescent="0.3">
      <c r="A11" s="1">
        <v>41912</v>
      </c>
      <c r="B11">
        <v>0.49545454500000002</v>
      </c>
      <c r="C11">
        <v>8.8571428999999993E-2</v>
      </c>
      <c r="D11">
        <v>0.13064761899999999</v>
      </c>
      <c r="E11">
        <v>0.131235714</v>
      </c>
      <c r="F11">
        <v>0.32095238100000001</v>
      </c>
      <c r="G11">
        <v>0.57399047599999997</v>
      </c>
      <c r="H11">
        <v>0.18971666700000001</v>
      </c>
      <c r="I11">
        <v>0.44275476200000002</v>
      </c>
      <c r="J11">
        <f t="shared" si="1"/>
        <v>0.42554581330545738</v>
      </c>
      <c r="M11">
        <f t="shared" si="0"/>
        <v>5.5938416100297994</v>
      </c>
      <c r="O11" s="4" t="s">
        <v>17</v>
      </c>
      <c r="P11" s="5">
        <v>0.3</v>
      </c>
      <c r="Q11" s="5"/>
      <c r="R11" s="5"/>
      <c r="S11" s="5"/>
    </row>
    <row r="12" spans="1:19" ht="15.75" thickBot="1" x14ac:dyDescent="0.3">
      <c r="A12" s="1">
        <v>41943</v>
      </c>
      <c r="B12">
        <v>0.49</v>
      </c>
      <c r="C12">
        <v>8.8636363999999995E-2</v>
      </c>
      <c r="D12">
        <v>0.128671429</v>
      </c>
      <c r="E12">
        <v>0.12809130399999999</v>
      </c>
      <c r="F12">
        <v>0.31863636400000001</v>
      </c>
      <c r="G12">
        <v>0.58473636399999995</v>
      </c>
      <c r="H12">
        <v>0.19054505899999999</v>
      </c>
      <c r="I12">
        <v>0.45664505900000002</v>
      </c>
      <c r="J12">
        <f t="shared" si="1"/>
        <v>0.42554634900333321</v>
      </c>
      <c r="M12">
        <f t="shared" si="0"/>
        <v>5.5282051055253127</v>
      </c>
      <c r="O12" s="4" t="s">
        <v>18</v>
      </c>
      <c r="P12" s="5">
        <v>0.6</v>
      </c>
      <c r="Q12" s="5"/>
      <c r="R12" s="5"/>
      <c r="S12" s="5"/>
    </row>
    <row r="13" spans="1:19" ht="15.75" thickBot="1" x14ac:dyDescent="0.3">
      <c r="A13" s="1">
        <v>41973</v>
      </c>
      <c r="B13">
        <v>0.49199999999999999</v>
      </c>
      <c r="C13">
        <v>9.5000000000000001E-2</v>
      </c>
      <c r="D13">
        <v>0.14349999999999999</v>
      </c>
      <c r="E13">
        <v>0.144925</v>
      </c>
      <c r="F13">
        <v>0.34944444400000002</v>
      </c>
      <c r="G13">
        <v>0.63149444399999999</v>
      </c>
      <c r="H13">
        <v>0.20451944399999999</v>
      </c>
      <c r="I13">
        <v>0.48656944400000002</v>
      </c>
      <c r="J13">
        <f t="shared" si="1"/>
        <v>0.42559885055116387</v>
      </c>
      <c r="M13">
        <f t="shared" si="0"/>
        <v>5.1789473684210527</v>
      </c>
      <c r="O13" s="4" t="s">
        <v>19</v>
      </c>
      <c r="P13" s="5">
        <v>0.113</v>
      </c>
      <c r="Q13" s="5">
        <v>5.99</v>
      </c>
      <c r="R13" s="5">
        <v>3.34</v>
      </c>
      <c r="S13" s="5">
        <v>1E-3</v>
      </c>
    </row>
    <row r="14" spans="1:19" ht="15.75" thickBot="1" x14ac:dyDescent="0.3">
      <c r="A14" s="1">
        <v>42004</v>
      </c>
      <c r="B14">
        <v>0.50043478299999999</v>
      </c>
      <c r="C14">
        <v>0.121363636</v>
      </c>
      <c r="D14">
        <v>0.15500909099999999</v>
      </c>
      <c r="E14">
        <v>0.158411364</v>
      </c>
      <c r="F14">
        <v>0.376363636</v>
      </c>
      <c r="G14">
        <v>0.73206363600000002</v>
      </c>
      <c r="H14">
        <v>0.217952273</v>
      </c>
      <c r="I14">
        <v>0.57365227299999999</v>
      </c>
      <c r="J14">
        <f t="shared" si="1"/>
        <v>0.42581642226316324</v>
      </c>
      <c r="M14">
        <f t="shared" si="0"/>
        <v>4.1234326812687119</v>
      </c>
      <c r="O14" s="4" t="s">
        <v>20</v>
      </c>
      <c r="P14" s="5">
        <v>3</v>
      </c>
      <c r="Q14" s="5">
        <v>6.3E-2</v>
      </c>
      <c r="R14" s="5">
        <v>66.3</v>
      </c>
      <c r="S14" s="5" t="s">
        <v>16</v>
      </c>
    </row>
    <row r="15" spans="1:19" ht="15.75" thickBot="1" x14ac:dyDescent="0.3">
      <c r="A15" s="1">
        <v>42035</v>
      </c>
      <c r="B15">
        <v>0.48499999999999999</v>
      </c>
      <c r="C15">
        <v>0.11650000000000001</v>
      </c>
      <c r="D15">
        <v>0.16307619000000001</v>
      </c>
      <c r="E15">
        <v>0.16402618999999999</v>
      </c>
      <c r="F15">
        <v>0.36099999999999999</v>
      </c>
      <c r="G15">
        <v>0.75787000000000004</v>
      </c>
      <c r="H15">
        <v>0.19697381</v>
      </c>
      <c r="I15">
        <v>0.59384380999999997</v>
      </c>
      <c r="J15">
        <f t="shared" si="1"/>
        <v>0.42577627614671942</v>
      </c>
      <c r="M15">
        <f t="shared" si="0"/>
        <v>4.1630901287553641</v>
      </c>
      <c r="O15" s="4"/>
      <c r="P15" s="5"/>
      <c r="Q15" s="5"/>
      <c r="R15" s="5"/>
      <c r="S15" s="5"/>
    </row>
    <row r="16" spans="1:19" x14ac:dyDescent="0.25">
      <c r="A16" s="1">
        <v>42063</v>
      </c>
      <c r="B16">
        <v>0.46500000000000002</v>
      </c>
      <c r="C16">
        <v>0.11368421099999999</v>
      </c>
      <c r="D16">
        <v>0.16483684200000001</v>
      </c>
      <c r="E16">
        <v>0.168375</v>
      </c>
      <c r="F16">
        <v>0.34</v>
      </c>
      <c r="G16">
        <v>0.80643684199999999</v>
      </c>
      <c r="H16">
        <v>0.171625</v>
      </c>
      <c r="I16">
        <v>0.63806184200000005</v>
      </c>
      <c r="J16">
        <f t="shared" si="1"/>
        <v>0.42575303528857433</v>
      </c>
      <c r="M16">
        <f t="shared" si="0"/>
        <v>4.0902777607349545</v>
      </c>
    </row>
    <row r="17" spans="1:13" x14ac:dyDescent="0.25">
      <c r="A17" s="1">
        <v>42094</v>
      </c>
      <c r="B17">
        <v>0.45227272699999999</v>
      </c>
      <c r="C17">
        <v>0.113636364</v>
      </c>
      <c r="D17">
        <v>0.165418182</v>
      </c>
      <c r="E17">
        <v>0.16926818199999999</v>
      </c>
      <c r="F17">
        <v>0.34681818199999997</v>
      </c>
      <c r="G17">
        <v>0.81979545499999995</v>
      </c>
      <c r="H17">
        <v>0.17755000000000001</v>
      </c>
      <c r="I17">
        <v>0.65052727300000002</v>
      </c>
      <c r="J17">
        <f t="shared" si="1"/>
        <v>0.42575264038104899</v>
      </c>
      <c r="M17">
        <f t="shared" si="0"/>
        <v>3.979999984864</v>
      </c>
    </row>
    <row r="18" spans="1:13" x14ac:dyDescent="0.25">
      <c r="A18" s="1">
        <v>42124</v>
      </c>
      <c r="B18">
        <v>0.46681818200000003</v>
      </c>
      <c r="C18">
        <v>0.124545455</v>
      </c>
      <c r="D18">
        <v>0.16573157899999999</v>
      </c>
      <c r="E18">
        <v>0.17281590899999999</v>
      </c>
      <c r="F18">
        <v>0.35045454500000001</v>
      </c>
      <c r="G18">
        <v>0.79359999999999997</v>
      </c>
      <c r="H18">
        <v>0.17763863599999999</v>
      </c>
      <c r="I18">
        <v>0.62078409099999998</v>
      </c>
      <c r="J18">
        <f t="shared" si="1"/>
        <v>0.4258426880116134</v>
      </c>
      <c r="M18">
        <f t="shared" si="0"/>
        <v>3.7481751702621344</v>
      </c>
    </row>
    <row r="19" spans="1:13" x14ac:dyDescent="0.25">
      <c r="A19" s="1">
        <v>42155</v>
      </c>
      <c r="B19">
        <v>0.47142857100000002</v>
      </c>
      <c r="C19">
        <v>0.1245</v>
      </c>
      <c r="D19">
        <v>0.17002500000000001</v>
      </c>
      <c r="E19">
        <v>0.180295238</v>
      </c>
      <c r="F19">
        <v>0.35849999999999999</v>
      </c>
      <c r="G19">
        <v>0.835565</v>
      </c>
      <c r="H19">
        <v>0.17820476199999999</v>
      </c>
      <c r="I19">
        <v>0.65526976199999998</v>
      </c>
      <c r="J19">
        <f t="shared" si="1"/>
        <v>0.42584231277226725</v>
      </c>
      <c r="M19">
        <f t="shared" si="0"/>
        <v>3.7865748674698798</v>
      </c>
    </row>
    <row r="20" spans="1:13" x14ac:dyDescent="0.25">
      <c r="A20" s="1">
        <v>42185</v>
      </c>
      <c r="B20">
        <v>0.464090909</v>
      </c>
      <c r="C20">
        <v>0.128636364</v>
      </c>
      <c r="D20">
        <v>0.17548333299999999</v>
      </c>
      <c r="E20">
        <v>0.185752273</v>
      </c>
      <c r="F20">
        <v>0.35772727300000001</v>
      </c>
      <c r="G20">
        <v>1.115618182</v>
      </c>
      <c r="H20">
        <v>0.17197499999999999</v>
      </c>
      <c r="I20">
        <v>0.92986590899999999</v>
      </c>
      <c r="J20">
        <f t="shared" si="1"/>
        <v>0.42587646048482497</v>
      </c>
      <c r="M20">
        <f t="shared" si="0"/>
        <v>3.6077738406847382</v>
      </c>
    </row>
    <row r="21" spans="1:13" x14ac:dyDescent="0.25">
      <c r="A21" s="1">
        <v>42216</v>
      </c>
      <c r="B21">
        <v>0.47391304299999998</v>
      </c>
      <c r="C21">
        <v>0.130434783</v>
      </c>
      <c r="D21">
        <v>0.17505000000000001</v>
      </c>
      <c r="E21">
        <v>0.20272173900000001</v>
      </c>
      <c r="F21">
        <v>0.365217391</v>
      </c>
      <c r="G21">
        <v>1.15835</v>
      </c>
      <c r="H21">
        <v>0.16249565199999999</v>
      </c>
      <c r="I21">
        <v>0.95562826099999998</v>
      </c>
      <c r="J21">
        <f t="shared" si="1"/>
        <v>0.42589130811616638</v>
      </c>
      <c r="M21">
        <f t="shared" si="0"/>
        <v>3.6333333187666668</v>
      </c>
    </row>
    <row r="22" spans="1:13" x14ac:dyDescent="0.25">
      <c r="A22" s="1">
        <v>42247</v>
      </c>
      <c r="B22">
        <v>0.44571428600000002</v>
      </c>
      <c r="C22">
        <v>0.14190476199999999</v>
      </c>
      <c r="D22">
        <v>0.19255238099999999</v>
      </c>
      <c r="E22">
        <v>0.243509524</v>
      </c>
      <c r="F22">
        <v>0.44238095199999999</v>
      </c>
      <c r="G22">
        <v>1.2395</v>
      </c>
      <c r="H22">
        <v>0.19887142899999999</v>
      </c>
      <c r="I22">
        <v>0.99599047600000001</v>
      </c>
      <c r="J22">
        <f t="shared" si="1"/>
        <v>0.42598601492151844</v>
      </c>
      <c r="M22">
        <f t="shared" si="0"/>
        <v>3.140939597220846</v>
      </c>
    </row>
    <row r="23" spans="1:13" x14ac:dyDescent="0.25">
      <c r="A23" s="1">
        <v>42277</v>
      </c>
      <c r="B23">
        <v>0.48</v>
      </c>
      <c r="C23">
        <v>0.135238095</v>
      </c>
      <c r="D23">
        <v>0.20614545500000001</v>
      </c>
      <c r="E23">
        <v>0.23354090899999999</v>
      </c>
      <c r="F23">
        <v>0.46857142899999998</v>
      </c>
      <c r="G23">
        <v>1.20412381</v>
      </c>
      <c r="H23">
        <v>0.23503051899999999</v>
      </c>
      <c r="I23">
        <v>0.97058290000000003</v>
      </c>
      <c r="J23">
        <f t="shared" si="1"/>
        <v>0.42593096632705718</v>
      </c>
      <c r="M23">
        <f t="shared" si="0"/>
        <v>3.5492957808966472</v>
      </c>
    </row>
    <row r="24" spans="1:13" x14ac:dyDescent="0.25">
      <c r="A24" s="1">
        <v>42308</v>
      </c>
      <c r="B24">
        <v>0.49136363599999999</v>
      </c>
      <c r="C24">
        <v>0.12428571400000001</v>
      </c>
      <c r="D24">
        <v>0.17814545500000001</v>
      </c>
      <c r="E24">
        <v>0.210154545</v>
      </c>
      <c r="F24">
        <v>0.42285714299999999</v>
      </c>
      <c r="G24">
        <v>1.167242857</v>
      </c>
      <c r="H24">
        <v>0.21270259699999999</v>
      </c>
      <c r="I24">
        <v>0.957088312</v>
      </c>
      <c r="J24">
        <f t="shared" si="1"/>
        <v>0.42584054380629033</v>
      </c>
      <c r="M24">
        <f t="shared" si="0"/>
        <v>3.9535005286287368</v>
      </c>
    </row>
    <row r="25" spans="1:13" x14ac:dyDescent="0.25">
      <c r="A25" s="1">
        <v>42338</v>
      </c>
      <c r="B25">
        <v>0.49095238099999999</v>
      </c>
      <c r="C25">
        <v>0.118947368</v>
      </c>
      <c r="D25">
        <v>0.20126666700000001</v>
      </c>
      <c r="E25">
        <v>0.287628571</v>
      </c>
      <c r="F25">
        <v>0.48842105299999999</v>
      </c>
      <c r="G25">
        <v>1.2511052629999999</v>
      </c>
      <c r="H25">
        <v>0.20079248099999999</v>
      </c>
      <c r="I25">
        <v>0.96347669199999997</v>
      </c>
      <c r="J25">
        <f t="shared" si="1"/>
        <v>0.42579647711496005</v>
      </c>
      <c r="M25">
        <f t="shared" si="0"/>
        <v>4.12747578407956</v>
      </c>
    </row>
    <row r="26" spans="1:13" x14ac:dyDescent="0.25">
      <c r="A26" s="1">
        <v>42369</v>
      </c>
      <c r="B26">
        <v>0.47956521699999999</v>
      </c>
      <c r="C26">
        <v>0.23181818200000001</v>
      </c>
      <c r="D26">
        <v>0.351327273</v>
      </c>
      <c r="E26">
        <v>0.38276818200000001</v>
      </c>
      <c r="F26">
        <v>0.68181818199999999</v>
      </c>
      <c r="G26">
        <v>1.264818182</v>
      </c>
      <c r="H26">
        <v>0.29904999999999998</v>
      </c>
      <c r="I26">
        <v>0.88205</v>
      </c>
      <c r="J26">
        <f t="shared" si="1"/>
        <v>0.42672909875015247</v>
      </c>
      <c r="M26">
        <f t="shared" si="0"/>
        <v>2.0687126991617939</v>
      </c>
    </row>
    <row r="27" spans="1:13" x14ac:dyDescent="0.25">
      <c r="A27" s="1">
        <v>42400</v>
      </c>
      <c r="B27">
        <v>0.49428571399999999</v>
      </c>
      <c r="C27">
        <v>0.36263157899999998</v>
      </c>
      <c r="D27">
        <v>0.396433333</v>
      </c>
      <c r="E27">
        <v>0.42557499999999998</v>
      </c>
      <c r="F27">
        <v>0.65684210499999995</v>
      </c>
      <c r="G27">
        <v>1.306605263</v>
      </c>
      <c r="H27">
        <v>0.231267105</v>
      </c>
      <c r="I27">
        <v>0.88103026299999998</v>
      </c>
      <c r="J27">
        <f t="shared" si="1"/>
        <v>0.42781228150284178</v>
      </c>
      <c r="K27">
        <f t="shared" ref="K3:K66" si="2">$P$10+J27*C27</f>
        <v>0.42413824315696802</v>
      </c>
      <c r="L27">
        <f>Sheet1!$B$17+Sheet1!$B$18*C27</f>
        <v>0.43377168024115975</v>
      </c>
      <c r="M27">
        <f t="shared" si="0"/>
        <v>1.3630520413116034</v>
      </c>
    </row>
    <row r="28" spans="1:13" x14ac:dyDescent="0.25">
      <c r="A28" s="1">
        <v>42429</v>
      </c>
      <c r="B28">
        <v>0.52571428600000003</v>
      </c>
      <c r="C28">
        <v>0.374</v>
      </c>
      <c r="D28">
        <v>0.41776666699999998</v>
      </c>
      <c r="E28">
        <v>0.42791428599999998</v>
      </c>
      <c r="F28">
        <v>0.66149999999999998</v>
      </c>
      <c r="G28">
        <v>1.33866</v>
      </c>
      <c r="H28">
        <v>0.233585714</v>
      </c>
      <c r="I28">
        <v>0.91074571400000004</v>
      </c>
      <c r="J28">
        <f t="shared" si="1"/>
        <v>0.4279065297540281</v>
      </c>
      <c r="K28">
        <f t="shared" si="2"/>
        <v>0.42903704212800653</v>
      </c>
      <c r="L28">
        <f>Sheet1!$B$17+Sheet1!$B$18*C28</f>
        <v>0.4389705046513136</v>
      </c>
      <c r="M28">
        <f t="shared" si="0"/>
        <v>1.4056531711229947</v>
      </c>
    </row>
    <row r="29" spans="1:13" x14ac:dyDescent="0.25">
      <c r="A29" s="1">
        <v>42460</v>
      </c>
      <c r="B29">
        <v>0.55000000000000004</v>
      </c>
      <c r="C29">
        <v>0.361304348</v>
      </c>
      <c r="D29">
        <v>0.41440434799999998</v>
      </c>
      <c r="E29">
        <v>0.43693913000000001</v>
      </c>
      <c r="F29">
        <v>0.65043478300000002</v>
      </c>
      <c r="G29">
        <v>1.4476681819999999</v>
      </c>
      <c r="H29">
        <v>0.21349565200000001</v>
      </c>
      <c r="I29">
        <v>1.010729051</v>
      </c>
      <c r="J29">
        <f t="shared" si="1"/>
        <v>0.42780127945202651</v>
      </c>
      <c r="K29">
        <f t="shared" si="2"/>
        <v>0.42356646234598028</v>
      </c>
      <c r="L29">
        <f>Sheet1!$B$17+Sheet1!$B$18*C29</f>
        <v>0.43316473219439822</v>
      </c>
      <c r="M29">
        <f t="shared" si="0"/>
        <v>1.5222623338039654</v>
      </c>
    </row>
    <row r="30" spans="1:13" x14ac:dyDescent="0.25">
      <c r="A30" s="1">
        <v>42490</v>
      </c>
      <c r="B30">
        <v>0.50952381000000002</v>
      </c>
      <c r="C30">
        <v>0.366666667</v>
      </c>
      <c r="D30">
        <v>0.40486190500000002</v>
      </c>
      <c r="E30">
        <v>0.42331904799999998</v>
      </c>
      <c r="F30">
        <v>0.66</v>
      </c>
      <c r="G30">
        <v>1.2858285709999999</v>
      </c>
      <c r="H30">
        <v>0.236680952</v>
      </c>
      <c r="I30">
        <v>0.86250952400000003</v>
      </c>
      <c r="J30">
        <f t="shared" si="1"/>
        <v>0.42784573177044805</v>
      </c>
      <c r="K30">
        <f t="shared" si="2"/>
        <v>0.42587676845844624</v>
      </c>
      <c r="L30">
        <f>Sheet1!$B$17+Sheet1!$B$18*C30</f>
        <v>0.43561694212858626</v>
      </c>
      <c r="M30">
        <f t="shared" si="0"/>
        <v>1.3896103896458087</v>
      </c>
    </row>
    <row r="31" spans="1:13" x14ac:dyDescent="0.25">
      <c r="A31" s="1">
        <v>42521</v>
      </c>
      <c r="B31">
        <v>0.51363636400000001</v>
      </c>
      <c r="C31">
        <v>0.36619047599999999</v>
      </c>
      <c r="D31">
        <v>0.420145455</v>
      </c>
      <c r="E31">
        <v>0.45810000000000001</v>
      </c>
      <c r="F31">
        <v>0.67285714299999999</v>
      </c>
      <c r="G31">
        <v>1.312380952</v>
      </c>
      <c r="H31">
        <v>0.21475714300000001</v>
      </c>
      <c r="I31">
        <v>0.85428095199999998</v>
      </c>
      <c r="J31">
        <f t="shared" si="1"/>
        <v>0.42784178410196938</v>
      </c>
      <c r="K31">
        <f t="shared" si="2"/>
        <v>0.42567158657298942</v>
      </c>
      <c r="L31">
        <f>Sheet1!$B$17+Sheet1!$B$18*C31</f>
        <v>0.43539917807897061</v>
      </c>
      <c r="M31">
        <f t="shared" si="0"/>
        <v>1.402648068870038</v>
      </c>
    </row>
    <row r="32" spans="1:13" x14ac:dyDescent="0.25">
      <c r="A32" s="1">
        <v>42551</v>
      </c>
      <c r="B32">
        <v>0.54909090900000002</v>
      </c>
      <c r="C32">
        <v>0.376818182</v>
      </c>
      <c r="D32">
        <v>0.41662272700000003</v>
      </c>
      <c r="E32">
        <v>0.43140681800000003</v>
      </c>
      <c r="F32">
        <v>0.66909090900000001</v>
      </c>
      <c r="G32">
        <v>1.2779090909999999</v>
      </c>
      <c r="H32">
        <v>0.23768409099999999</v>
      </c>
      <c r="I32">
        <v>0.84650227300000003</v>
      </c>
      <c r="J32">
        <f t="shared" si="1"/>
        <v>0.42792989624596001</v>
      </c>
      <c r="K32">
        <f t="shared" si="2"/>
        <v>0.43025176552685129</v>
      </c>
      <c r="L32">
        <f>Sheet1!$B$17+Sheet1!$B$18*C32</f>
        <v>0.4402592705559063</v>
      </c>
      <c r="M32">
        <f t="shared" si="0"/>
        <v>1.4571773211304331</v>
      </c>
    </row>
    <row r="33" spans="1:13" x14ac:dyDescent="0.25">
      <c r="A33" s="1">
        <v>42582</v>
      </c>
      <c r="B33">
        <v>0.53333333299999997</v>
      </c>
      <c r="C33">
        <v>0.39550000000000002</v>
      </c>
      <c r="D33">
        <v>0.42933809499999998</v>
      </c>
      <c r="E33">
        <v>0.438266667</v>
      </c>
      <c r="F33">
        <v>0.66</v>
      </c>
      <c r="G33">
        <v>1.2511350000000001</v>
      </c>
      <c r="H33">
        <v>0.221733333</v>
      </c>
      <c r="I33">
        <v>0.81286833300000005</v>
      </c>
      <c r="J33">
        <f t="shared" si="1"/>
        <v>0.42808482109624241</v>
      </c>
      <c r="K33">
        <f t="shared" si="2"/>
        <v>0.43830754674356387</v>
      </c>
      <c r="L33">
        <f>Sheet1!$B$17+Sheet1!$B$18*C33</f>
        <v>0.44880254067622039</v>
      </c>
      <c r="M33">
        <f t="shared" si="0"/>
        <v>1.3485040025284449</v>
      </c>
    </row>
    <row r="34" spans="1:13" x14ac:dyDescent="0.25">
      <c r="A34" s="1">
        <v>42613</v>
      </c>
      <c r="B34">
        <v>0.49043478299999999</v>
      </c>
      <c r="C34">
        <v>0.39565217400000002</v>
      </c>
      <c r="D34">
        <v>0.44512173900000002</v>
      </c>
      <c r="E34">
        <v>0.467882609</v>
      </c>
      <c r="F34">
        <v>0.66</v>
      </c>
      <c r="G34">
        <v>1.2297217389999999</v>
      </c>
      <c r="H34">
        <v>0.192117391</v>
      </c>
      <c r="I34">
        <v>0.76183913000000003</v>
      </c>
      <c r="J34">
        <f t="shared" si="1"/>
        <v>0.4280860832436521</v>
      </c>
      <c r="K34">
        <f t="shared" si="2"/>
        <v>0.43837318949449594</v>
      </c>
      <c r="L34">
        <f>Sheet1!$B$17+Sheet1!$B$18*C34</f>
        <v>0.44887213045529273</v>
      </c>
      <c r="M34">
        <f t="shared" si="0"/>
        <v>1.2395604402770195</v>
      </c>
    </row>
    <row r="35" spans="1:13" x14ac:dyDescent="0.25">
      <c r="A35" s="1">
        <v>42643</v>
      </c>
      <c r="B35">
        <v>0.472727273</v>
      </c>
      <c r="C35">
        <v>0.39476190500000002</v>
      </c>
      <c r="D35">
        <v>0.453463636</v>
      </c>
      <c r="E35">
        <v>0.47707380999999999</v>
      </c>
      <c r="F35">
        <v>0.65952381000000004</v>
      </c>
      <c r="G35">
        <v>1.2682380950000001</v>
      </c>
      <c r="H35">
        <v>0.18245</v>
      </c>
      <c r="I35">
        <v>0.79116428599999999</v>
      </c>
      <c r="J35">
        <f t="shared" si="1"/>
        <v>0.42807869930246839</v>
      </c>
      <c r="K35">
        <f t="shared" si="2"/>
        <v>0.43798916282656464</v>
      </c>
      <c r="L35">
        <f>Sheet1!$B$17+Sheet1!$B$18*C35</f>
        <v>0.44846500687948537</v>
      </c>
      <c r="M35">
        <f t="shared" si="0"/>
        <v>1.197499725815742</v>
      </c>
    </row>
    <row r="36" spans="1:13" x14ac:dyDescent="0.25">
      <c r="A36" s="1">
        <v>42674</v>
      </c>
      <c r="B36">
        <v>0.52</v>
      </c>
      <c r="C36">
        <v>0.40250000000000002</v>
      </c>
      <c r="D36">
        <v>0.45248095199999999</v>
      </c>
      <c r="E36">
        <v>0.51330714300000002</v>
      </c>
      <c r="F36">
        <v>0.65700000000000003</v>
      </c>
      <c r="G36">
        <v>1.3042800000000001</v>
      </c>
      <c r="H36">
        <v>0.14369285700000001</v>
      </c>
      <c r="I36">
        <v>0.79097285699999997</v>
      </c>
      <c r="J36">
        <f t="shared" si="1"/>
        <v>0.42814288312295601</v>
      </c>
      <c r="K36">
        <f t="shared" si="2"/>
        <v>0.44132751045698981</v>
      </c>
      <c r="L36">
        <f>Sheet1!$B$17+Sheet1!$B$18*C36</f>
        <v>0.45200366868432962</v>
      </c>
      <c r="M36">
        <f t="shared" si="0"/>
        <v>1.2919254658385093</v>
      </c>
    </row>
    <row r="37" spans="1:13" x14ac:dyDescent="0.25">
      <c r="A37" s="1">
        <v>42704</v>
      </c>
      <c r="B37">
        <v>0.54181818199999998</v>
      </c>
      <c r="C37">
        <v>0.40500000000000003</v>
      </c>
      <c r="D37">
        <v>0.49300909100000001</v>
      </c>
      <c r="E37">
        <v>0.59264545499999999</v>
      </c>
      <c r="F37">
        <v>0.73550000000000004</v>
      </c>
      <c r="G37">
        <v>1.336525</v>
      </c>
      <c r="H37">
        <v>0.142854545</v>
      </c>
      <c r="I37">
        <v>0.74387954499999998</v>
      </c>
      <c r="J37">
        <f t="shared" si="1"/>
        <v>0.42816362118388407</v>
      </c>
      <c r="K37">
        <f t="shared" si="2"/>
        <v>0.44240626657947307</v>
      </c>
      <c r="L37">
        <f>Sheet1!$B$17+Sheet1!$B$18*C37</f>
        <v>0.45314692868722573</v>
      </c>
      <c r="M37">
        <f t="shared" si="0"/>
        <v>1.3378226716049382</v>
      </c>
    </row>
    <row r="38" spans="1:13" x14ac:dyDescent="0.25">
      <c r="A38" s="1">
        <v>42735</v>
      </c>
      <c r="B38">
        <v>0.54454545499999996</v>
      </c>
      <c r="C38">
        <v>0.53571428600000004</v>
      </c>
      <c r="D38">
        <v>0.66119523800000002</v>
      </c>
      <c r="E38">
        <v>0.68623809499999999</v>
      </c>
      <c r="F38">
        <v>0.80142857099999998</v>
      </c>
      <c r="G38">
        <v>1.4539047620000001</v>
      </c>
      <c r="H38">
        <v>0.115190476</v>
      </c>
      <c r="I38">
        <v>0.76766666699999997</v>
      </c>
      <c r="J38">
        <f t="shared" si="1"/>
        <v>0.42924909510824871</v>
      </c>
      <c r="K38">
        <f t="shared" si="2"/>
        <v>0.49895487250206161</v>
      </c>
      <c r="L38">
        <f>Sheet1!$B$17+Sheet1!$B$18*C38</f>
        <v>0.51292309468359654</v>
      </c>
      <c r="M38">
        <f t="shared" si="0"/>
        <v>1.0164848487912079</v>
      </c>
    </row>
    <row r="39" spans="1:13" x14ac:dyDescent="0.25">
      <c r="A39" s="1">
        <v>42766</v>
      </c>
      <c r="B39">
        <v>0.58227272699999999</v>
      </c>
      <c r="C39">
        <v>0.65500000000000003</v>
      </c>
      <c r="D39">
        <v>0.69673636400000005</v>
      </c>
      <c r="E39">
        <v>0.71968181799999997</v>
      </c>
      <c r="F39">
        <v>0.82</v>
      </c>
      <c r="G39">
        <v>1.45326</v>
      </c>
      <c r="H39">
        <v>0.10031818200000001</v>
      </c>
      <c r="I39">
        <v>0.73357818200000002</v>
      </c>
      <c r="J39">
        <f t="shared" si="1"/>
        <v>0.43024160461055394</v>
      </c>
      <c r="K39">
        <f t="shared" si="2"/>
        <v>0.55080825101991282</v>
      </c>
      <c r="L39">
        <f>Sheet1!$B$17+Sheet1!$B$18*C39</f>
        <v>0.56747292897683987</v>
      </c>
      <c r="M39">
        <f t="shared" si="0"/>
        <v>0.88896599541984722</v>
      </c>
    </row>
    <row r="40" spans="1:13" x14ac:dyDescent="0.25">
      <c r="A40" s="1">
        <v>42794</v>
      </c>
      <c r="B40">
        <v>0.5595</v>
      </c>
      <c r="C40">
        <v>0.65526315800000001</v>
      </c>
      <c r="D40">
        <v>0.71172500000000005</v>
      </c>
      <c r="E40">
        <v>0.75293750000000004</v>
      </c>
      <c r="F40">
        <v>0.83315789500000004</v>
      </c>
      <c r="G40">
        <v>1.409</v>
      </c>
      <c r="H40">
        <v>8.0220395E-2</v>
      </c>
      <c r="I40">
        <v>0.65606249999999999</v>
      </c>
      <c r="J40">
        <f t="shared" si="1"/>
        <v>0.43024379618191266</v>
      </c>
      <c r="K40">
        <f t="shared" si="2"/>
        <v>0.55092290859606852</v>
      </c>
      <c r="L40">
        <f>Sheet1!$B$17+Sheet1!$B$18*C40</f>
        <v>0.56759327218317679</v>
      </c>
      <c r="M40">
        <f t="shared" si="0"/>
        <v>0.85385542154958138</v>
      </c>
    </row>
    <row r="41" spans="1:13" x14ac:dyDescent="0.25">
      <c r="A41" s="1">
        <v>42825</v>
      </c>
      <c r="B41">
        <v>0.602608696</v>
      </c>
      <c r="C41">
        <v>0.786521739</v>
      </c>
      <c r="D41">
        <v>0.91316521699999997</v>
      </c>
      <c r="E41">
        <v>0.93626956500000003</v>
      </c>
      <c r="F41">
        <v>1.0647826090000001</v>
      </c>
      <c r="G41">
        <v>1.4956739130000001</v>
      </c>
      <c r="H41">
        <v>0.12851304299999999</v>
      </c>
      <c r="I41">
        <v>0.55940434800000005</v>
      </c>
      <c r="J41">
        <f t="shared" si="1"/>
        <v>0.43133796424459386</v>
      </c>
      <c r="K41">
        <f t="shared" si="2"/>
        <v>0.60825668573437786</v>
      </c>
      <c r="L41">
        <f>Sheet1!$B$17+Sheet1!$B$18*C41</f>
        <v>0.62761834646085812</v>
      </c>
      <c r="M41">
        <f t="shared" si="0"/>
        <v>0.76616915479814851</v>
      </c>
    </row>
    <row r="42" spans="1:13" x14ac:dyDescent="0.25">
      <c r="A42" s="1">
        <v>42855</v>
      </c>
      <c r="B42">
        <v>0.70399999999999996</v>
      </c>
      <c r="C42">
        <v>0.90600000000000003</v>
      </c>
      <c r="D42">
        <v>0.94084999999999996</v>
      </c>
      <c r="E42">
        <v>0.99461750000000004</v>
      </c>
      <c r="F42">
        <v>1.167</v>
      </c>
      <c r="G42">
        <v>1.500210526</v>
      </c>
      <c r="H42">
        <v>0.17238249999999999</v>
      </c>
      <c r="I42">
        <v>0.505593026</v>
      </c>
      <c r="J42">
        <f t="shared" si="1"/>
        <v>0.43233569186690352</v>
      </c>
      <c r="K42">
        <f t="shared" si="2"/>
        <v>0.66069613683141459</v>
      </c>
      <c r="L42">
        <f>Sheet1!$B$17+Sheet1!$B$18*C42</f>
        <v>0.68225623326761253</v>
      </c>
      <c r="M42">
        <f t="shared" si="0"/>
        <v>0.77704194260485648</v>
      </c>
    </row>
    <row r="43" spans="1:13" x14ac:dyDescent="0.25">
      <c r="A43" s="1">
        <v>42886</v>
      </c>
      <c r="B43">
        <v>0.68695652200000001</v>
      </c>
      <c r="C43">
        <v>0.90636363600000003</v>
      </c>
      <c r="D43">
        <v>0.98768695699999998</v>
      </c>
      <c r="E43">
        <v>1.084156522</v>
      </c>
      <c r="F43">
        <v>1.2181818179999999</v>
      </c>
      <c r="G43">
        <v>1.515190909</v>
      </c>
      <c r="H43">
        <v>0.13402529599999999</v>
      </c>
      <c r="I43">
        <v>0.43103438700000002</v>
      </c>
      <c r="J43">
        <f t="shared" si="1"/>
        <v>0.43233873095104802</v>
      </c>
      <c r="K43">
        <f t="shared" si="2"/>
        <v>0.66085610416841767</v>
      </c>
      <c r="L43">
        <f>Sheet1!$B$17+Sheet1!$B$18*C43</f>
        <v>0.68242252546537774</v>
      </c>
      <c r="M43">
        <f t="shared" si="0"/>
        <v>0.75792595236025118</v>
      </c>
    </row>
    <row r="44" spans="1:13" x14ac:dyDescent="0.25">
      <c r="A44" s="1">
        <v>42916</v>
      </c>
      <c r="B44">
        <v>0.66954545499999996</v>
      </c>
      <c r="C44">
        <v>1.0418181820000001</v>
      </c>
      <c r="D44">
        <v>1.171081818</v>
      </c>
      <c r="E44">
        <v>1.186404545</v>
      </c>
      <c r="F44">
        <v>1.3360000000000001</v>
      </c>
      <c r="G44">
        <v>1.5642772730000001</v>
      </c>
      <c r="H44">
        <v>0.14959545499999999</v>
      </c>
      <c r="I44">
        <v>0.37787272700000002</v>
      </c>
      <c r="J44">
        <f t="shared" si="1"/>
        <v>0.43347179254977075</v>
      </c>
      <c r="K44">
        <f t="shared" si="2"/>
        <v>0.72059879486248335</v>
      </c>
      <c r="L44">
        <f>Sheet1!$B$17+Sheet1!$B$18*C44</f>
        <v>0.74436643132628</v>
      </c>
      <c r="M44">
        <f t="shared" si="0"/>
        <v>0.64267015739220401</v>
      </c>
    </row>
    <row r="45" spans="1:13" x14ac:dyDescent="0.25">
      <c r="A45" s="1">
        <v>42947</v>
      </c>
      <c r="B45">
        <v>0.682857143</v>
      </c>
      <c r="C45">
        <v>1.1555</v>
      </c>
      <c r="D45">
        <v>1.1992285709999999</v>
      </c>
      <c r="E45">
        <v>1.205033333</v>
      </c>
      <c r="F45">
        <v>1.38</v>
      </c>
      <c r="G45">
        <v>1.5572950000000001</v>
      </c>
      <c r="H45">
        <v>0.17496666699999999</v>
      </c>
      <c r="I45">
        <v>0.352261667</v>
      </c>
      <c r="J45">
        <f t="shared" si="1"/>
        <v>0.43442420924442871</v>
      </c>
      <c r="K45">
        <f t="shared" si="2"/>
        <v>0.77097717378193742</v>
      </c>
      <c r="L45">
        <f>Sheet1!$B$17+Sheet1!$B$18*C45</f>
        <v>0.79635358155664737</v>
      </c>
      <c r="M45">
        <f t="shared" si="0"/>
        <v>0.59096247771527477</v>
      </c>
    </row>
    <row r="46" spans="1:13" x14ac:dyDescent="0.25">
      <c r="A46" s="1">
        <v>42978</v>
      </c>
      <c r="B46">
        <v>0.67</v>
      </c>
      <c r="C46">
        <v>1.1560869570000001</v>
      </c>
      <c r="D46">
        <v>1.198178261</v>
      </c>
      <c r="E46">
        <v>1.2007673910000001</v>
      </c>
      <c r="F46">
        <v>1.3952380950000001</v>
      </c>
      <c r="G46">
        <v>1.563347826</v>
      </c>
      <c r="H46">
        <v>0.19447070399999999</v>
      </c>
      <c r="I46">
        <v>0.36258043499999998</v>
      </c>
      <c r="J46">
        <f t="shared" si="1"/>
        <v>0.43442913008504558</v>
      </c>
      <c r="K46">
        <f t="shared" si="2"/>
        <v>0.77123785103217757</v>
      </c>
      <c r="L46">
        <f>Sheet1!$B$17+Sheet1!$B$18*C46</f>
        <v>0.79662199934125544</v>
      </c>
      <c r="M46">
        <f t="shared" si="0"/>
        <v>0.57954118065532334</v>
      </c>
    </row>
    <row r="47" spans="1:13" x14ac:dyDescent="0.25">
      <c r="A47" s="1">
        <v>43008</v>
      </c>
      <c r="B47">
        <v>0.68809523800000005</v>
      </c>
      <c r="C47">
        <v>1.155</v>
      </c>
      <c r="D47">
        <v>1.1937238100000001</v>
      </c>
      <c r="E47">
        <v>1.2095833330000001</v>
      </c>
      <c r="F47">
        <v>1.39</v>
      </c>
      <c r="G47">
        <v>1.584605</v>
      </c>
      <c r="H47">
        <v>0.180416667</v>
      </c>
      <c r="I47">
        <v>0.375021667</v>
      </c>
      <c r="J47">
        <f t="shared" si="1"/>
        <v>0.43442001744738307</v>
      </c>
      <c r="K47">
        <f t="shared" si="2"/>
        <v>0.77075512015172742</v>
      </c>
      <c r="L47">
        <f>Sheet1!$B$17+Sheet1!$B$18*C47</f>
        <v>0.79612492955606817</v>
      </c>
      <c r="M47">
        <f t="shared" si="0"/>
        <v>0.59575345281385284</v>
      </c>
    </row>
    <row r="48" spans="1:13" x14ac:dyDescent="0.25">
      <c r="A48" s="1">
        <v>43039</v>
      </c>
      <c r="B48">
        <v>0.72272727299999995</v>
      </c>
      <c r="C48">
        <v>1.155714286</v>
      </c>
      <c r="D48">
        <v>1.1997295450000001</v>
      </c>
      <c r="E48">
        <v>1.2751545449999999</v>
      </c>
      <c r="F48">
        <v>1.408571429</v>
      </c>
      <c r="G48">
        <v>1.611545</v>
      </c>
      <c r="H48">
        <v>0.13341688299999999</v>
      </c>
      <c r="I48">
        <v>0.33639045499999998</v>
      </c>
      <c r="J48">
        <f t="shared" si="1"/>
        <v>0.43442600573880097</v>
      </c>
      <c r="K48">
        <f t="shared" si="2"/>
        <v>0.77107234104225031</v>
      </c>
      <c r="L48">
        <f>Sheet1!$B$17+Sheet1!$B$18*C48</f>
        <v>0.79645157540183964</v>
      </c>
      <c r="M48">
        <f t="shared" si="0"/>
        <v>0.62535116313341121</v>
      </c>
    </row>
    <row r="49" spans="1:13" x14ac:dyDescent="0.25">
      <c r="A49" s="1">
        <v>43069</v>
      </c>
      <c r="B49">
        <v>0.74045454499999996</v>
      </c>
      <c r="C49">
        <v>1.155714286</v>
      </c>
      <c r="D49">
        <v>1.2524386359999999</v>
      </c>
      <c r="E49">
        <v>1.366068182</v>
      </c>
      <c r="F49">
        <v>1.512857143</v>
      </c>
      <c r="G49">
        <v>1.7863857139999999</v>
      </c>
      <c r="H49">
        <v>0.146788961</v>
      </c>
      <c r="I49">
        <v>0.42031753199999999</v>
      </c>
      <c r="J49">
        <f t="shared" si="1"/>
        <v>0.43442600573880097</v>
      </c>
      <c r="K49">
        <f t="shared" si="2"/>
        <v>0.77107234104225031</v>
      </c>
      <c r="L49">
        <f>Sheet1!$B$17+Sheet1!$B$18*C49</f>
        <v>0.79645157540183964</v>
      </c>
      <c r="M49">
        <f t="shared" si="0"/>
        <v>0.64068996461293193</v>
      </c>
    </row>
    <row r="50" spans="1:13" x14ac:dyDescent="0.25">
      <c r="A50" s="1">
        <v>43100</v>
      </c>
      <c r="B50">
        <v>0.83</v>
      </c>
      <c r="C50">
        <v>1.2985</v>
      </c>
      <c r="D50">
        <v>1.4247799999999999</v>
      </c>
      <c r="E50">
        <v>1.444105</v>
      </c>
      <c r="F50">
        <v>1.6265000000000001</v>
      </c>
      <c r="G50">
        <v>1.9733050000000001</v>
      </c>
      <c r="H50">
        <v>0.182395</v>
      </c>
      <c r="I50">
        <v>0.5292</v>
      </c>
      <c r="J50">
        <f t="shared" si="1"/>
        <v>0.43562404722976455</v>
      </c>
      <c r="K50">
        <f t="shared" si="2"/>
        <v>0.83465782532784927</v>
      </c>
      <c r="L50">
        <f>Sheet1!$B$17+Sheet1!$B$18*C50</f>
        <v>0.86174805372230667</v>
      </c>
      <c r="M50">
        <f t="shared" si="0"/>
        <v>0.63919907585675773</v>
      </c>
    </row>
    <row r="51" spans="1:13" x14ac:dyDescent="0.25">
      <c r="A51" s="1">
        <v>43131</v>
      </c>
      <c r="B51">
        <v>0.81954545499999998</v>
      </c>
      <c r="C51">
        <v>1.4161904759999999</v>
      </c>
      <c r="D51">
        <v>1.4601999999999999</v>
      </c>
      <c r="E51">
        <v>1.522345652</v>
      </c>
      <c r="F51">
        <v>1.712777778</v>
      </c>
      <c r="G51">
        <v>2.098142857</v>
      </c>
      <c r="H51">
        <v>0.19043212600000001</v>
      </c>
      <c r="I51">
        <v>0.57579720499999998</v>
      </c>
      <c r="J51">
        <f t="shared" si="1"/>
        <v>0.43661292803049628</v>
      </c>
      <c r="K51">
        <f t="shared" si="2"/>
        <v>0.88732707037526226</v>
      </c>
      <c r="L51">
        <f>Sheet1!$B$17+Sheet1!$B$18*C51</f>
        <v>0.91556837929534995</v>
      </c>
      <c r="M51">
        <f t="shared" si="0"/>
        <v>0.57869719426075283</v>
      </c>
    </row>
    <row r="52" spans="1:13" x14ac:dyDescent="0.25">
      <c r="A52" s="1">
        <v>43159</v>
      </c>
      <c r="B52">
        <v>0.83799999999999997</v>
      </c>
      <c r="C52">
        <v>1.416315789</v>
      </c>
      <c r="D52">
        <v>1.4775875000000001</v>
      </c>
      <c r="E52">
        <v>1.609175</v>
      </c>
      <c r="F52">
        <v>1.816666667</v>
      </c>
      <c r="G52">
        <v>2.3370473679999999</v>
      </c>
      <c r="H52">
        <v>0.20749166699999999</v>
      </c>
      <c r="I52">
        <v>0.72787236799999999</v>
      </c>
      <c r="J52">
        <f t="shared" si="1"/>
        <v>0.43661398159973008</v>
      </c>
      <c r="K52">
        <f t="shared" si="2"/>
        <v>0.88738327583785326</v>
      </c>
      <c r="L52">
        <f>Sheet1!$B$17+Sheet1!$B$18*C52</f>
        <v>0.91562568543164724</v>
      </c>
      <c r="M52">
        <f t="shared" si="0"/>
        <v>0.59167595709123311</v>
      </c>
    </row>
    <row r="53" spans="1:13" x14ac:dyDescent="0.25">
      <c r="A53" s="1">
        <v>43190</v>
      </c>
      <c r="B53">
        <v>0.900454545</v>
      </c>
      <c r="C53">
        <v>1.5054545450000001</v>
      </c>
      <c r="D53">
        <v>1.664607143</v>
      </c>
      <c r="E53">
        <v>1.716506818</v>
      </c>
      <c r="F53">
        <v>1.9735</v>
      </c>
      <c r="G53">
        <v>2.6225476190000001</v>
      </c>
      <c r="H53">
        <v>0.25699318199999999</v>
      </c>
      <c r="I53">
        <v>0.90604080099999995</v>
      </c>
      <c r="J53">
        <f t="shared" si="1"/>
        <v>0.43736374693490748</v>
      </c>
      <c r="K53">
        <f t="shared" si="2"/>
        <v>0.92743124064138638</v>
      </c>
      <c r="L53">
        <f>Sheet1!$B$17+Sheet1!$B$18*C53</f>
        <v>0.95638919520873467</v>
      </c>
      <c r="M53">
        <f t="shared" si="0"/>
        <v>0.59812801920233327</v>
      </c>
    </row>
    <row r="54" spans="1:13" x14ac:dyDescent="0.25">
      <c r="A54" s="1">
        <v>43220</v>
      </c>
      <c r="B54">
        <v>1.130952381</v>
      </c>
      <c r="C54">
        <v>1.6923809519999999</v>
      </c>
      <c r="D54">
        <v>1.7352214290000001</v>
      </c>
      <c r="E54">
        <v>1.8159214290000001</v>
      </c>
      <c r="F54">
        <v>2.0552631579999998</v>
      </c>
      <c r="G54">
        <v>2.7271285710000002</v>
      </c>
      <c r="H54">
        <v>0.239341729</v>
      </c>
      <c r="I54">
        <v>0.91120714300000005</v>
      </c>
      <c r="J54">
        <f t="shared" si="1"/>
        <v>0.43893804782401757</v>
      </c>
      <c r="K54">
        <f t="shared" si="2"/>
        <v>1.0118503912454324</v>
      </c>
      <c r="L54">
        <f>Sheet1!$B$17+Sheet1!$B$18*C54</f>
        <v>1.0418713890520088</v>
      </c>
      <c r="M54">
        <f t="shared" si="0"/>
        <v>0.66826111441604075</v>
      </c>
    </row>
    <row r="55" spans="1:13" x14ac:dyDescent="0.25">
      <c r="A55" s="1">
        <v>43251</v>
      </c>
      <c r="B55">
        <v>1.077272727</v>
      </c>
      <c r="C55">
        <v>1.7</v>
      </c>
      <c r="D55">
        <v>1.7962826089999999</v>
      </c>
      <c r="E55">
        <v>1.912382609</v>
      </c>
      <c r="F55">
        <v>2.199545455</v>
      </c>
      <c r="G55">
        <v>2.7140499999999999</v>
      </c>
      <c r="H55">
        <v>0.28716284600000003</v>
      </c>
      <c r="I55">
        <v>0.80166739099999995</v>
      </c>
      <c r="J55">
        <f t="shared" si="1"/>
        <v>0.43900227011738469</v>
      </c>
      <c r="K55">
        <f t="shared" si="2"/>
        <v>1.015303859199554</v>
      </c>
      <c r="L55">
        <f>Sheet1!$B$17+Sheet1!$B$18*C55</f>
        <v>1.0453556101874271</v>
      </c>
      <c r="M55">
        <f t="shared" si="0"/>
        <v>0.63368983941176471</v>
      </c>
    </row>
    <row r="56" spans="1:13" x14ac:dyDescent="0.25">
      <c r="A56" s="1">
        <v>43281</v>
      </c>
      <c r="B56">
        <v>1.2542857140000001</v>
      </c>
      <c r="C56">
        <v>1.8209523809999999</v>
      </c>
      <c r="D56">
        <v>1.9480095239999999</v>
      </c>
      <c r="E56">
        <v>1.9625571429999999</v>
      </c>
      <c r="F56">
        <v>2.2685714290000001</v>
      </c>
      <c r="G56">
        <v>2.7627714289999998</v>
      </c>
      <c r="H56">
        <v>0.30601428600000002</v>
      </c>
      <c r="I56">
        <v>0.800214286</v>
      </c>
      <c r="J56">
        <f t="shared" si="1"/>
        <v>0.44002232642761741</v>
      </c>
      <c r="K56">
        <f t="shared" si="2"/>
        <v>1.0702597030015291</v>
      </c>
      <c r="L56">
        <f>Sheet1!$B$17+Sheet1!$B$18*C56</f>
        <v>1.100667617968369</v>
      </c>
      <c r="M56">
        <f t="shared" si="0"/>
        <v>0.68880753120583671</v>
      </c>
    </row>
    <row r="57" spans="1:13" x14ac:dyDescent="0.25">
      <c r="A57" s="1">
        <v>43312</v>
      </c>
      <c r="B57">
        <v>1.2259090909999999</v>
      </c>
      <c r="C57">
        <v>1.91</v>
      </c>
      <c r="D57">
        <v>1.962</v>
      </c>
      <c r="E57">
        <v>2.0173159090000001</v>
      </c>
      <c r="F57">
        <v>2.2871428570000001</v>
      </c>
      <c r="G57">
        <v>2.7964047619999999</v>
      </c>
      <c r="H57">
        <v>0.26982694800000001</v>
      </c>
      <c r="I57">
        <v>0.77908885299999997</v>
      </c>
      <c r="J57">
        <f t="shared" si="1"/>
        <v>0.44077391101868302</v>
      </c>
      <c r="K57">
        <f t="shared" si="2"/>
        <v>1.1108781700456847</v>
      </c>
      <c r="L57">
        <f>Sheet1!$B$17+Sheet1!$B$18*C57</f>
        <v>1.1413894504307029</v>
      </c>
      <c r="M57">
        <f t="shared" si="0"/>
        <v>0.64183722041884816</v>
      </c>
    </row>
    <row r="58" spans="1:13" x14ac:dyDescent="0.25">
      <c r="A58" s="1">
        <v>43343</v>
      </c>
      <c r="B58">
        <v>1.151304348</v>
      </c>
      <c r="C58">
        <v>1.914782609</v>
      </c>
      <c r="D58">
        <v>1.9653826089999999</v>
      </c>
      <c r="E58">
        <v>2.0966130430000001</v>
      </c>
      <c r="F58">
        <v>2.3504347829999999</v>
      </c>
      <c r="G58">
        <v>2.7520695650000002</v>
      </c>
      <c r="H58">
        <v>0.25382173899999999</v>
      </c>
      <c r="I58">
        <v>0.65545652200000004</v>
      </c>
      <c r="J58">
        <f t="shared" si="1"/>
        <v>0.44081429095943792</v>
      </c>
      <c r="K58">
        <f t="shared" si="2"/>
        <v>1.1130635381277978</v>
      </c>
      <c r="L58">
        <f>Sheet1!$B$17+Sheet1!$B$18*C58</f>
        <v>1.1435765566623792</v>
      </c>
      <c r="M58">
        <f t="shared" si="0"/>
        <v>0.60127157129407582</v>
      </c>
    </row>
    <row r="59" spans="1:13" x14ac:dyDescent="0.25">
      <c r="A59" s="1">
        <v>43373</v>
      </c>
      <c r="B59">
        <v>1.246666667</v>
      </c>
      <c r="C59">
        <v>1.948947368</v>
      </c>
      <c r="D59">
        <v>2.13713</v>
      </c>
      <c r="E59">
        <v>2.1955249999999999</v>
      </c>
      <c r="F59">
        <v>2.4226315789999999</v>
      </c>
      <c r="G59">
        <v>2.8414263160000002</v>
      </c>
      <c r="H59">
        <v>0.227106579</v>
      </c>
      <c r="I59">
        <v>0.645901316</v>
      </c>
      <c r="J59">
        <f t="shared" si="1"/>
        <v>0.44110278520837065</v>
      </c>
      <c r="K59">
        <f t="shared" si="2"/>
        <v>1.1286861122493232</v>
      </c>
      <c r="L59">
        <f>Sheet1!$B$17+Sheet1!$B$18*C59</f>
        <v>1.1592002376516937</v>
      </c>
      <c r="M59">
        <f t="shared" si="0"/>
        <v>0.63966153600100706</v>
      </c>
    </row>
    <row r="60" spans="1:13" x14ac:dyDescent="0.25">
      <c r="A60" s="1">
        <v>43404</v>
      </c>
      <c r="B60">
        <v>1.237826087</v>
      </c>
      <c r="C60">
        <v>2.1881818179999999</v>
      </c>
      <c r="D60">
        <v>2.2353304349999998</v>
      </c>
      <c r="E60">
        <v>2.29996087</v>
      </c>
      <c r="F60">
        <v>2.567727273</v>
      </c>
      <c r="G60">
        <v>2.9460227269999999</v>
      </c>
      <c r="H60">
        <v>0.26776640299999999</v>
      </c>
      <c r="I60">
        <v>0.64606185800000004</v>
      </c>
      <c r="J60">
        <f t="shared" si="1"/>
        <v>0.44312466178787691</v>
      </c>
      <c r="K60">
        <f t="shared" si="2"/>
        <v>1.2386373280316316</v>
      </c>
      <c r="L60">
        <f>Sheet1!$B$17+Sheet1!$B$18*C60</f>
        <v>1.2686031088516363</v>
      </c>
      <c r="M60">
        <f t="shared" si="0"/>
        <v>0.56568703606694537</v>
      </c>
    </row>
    <row r="61" spans="1:13" x14ac:dyDescent="0.25">
      <c r="A61" s="1">
        <v>43434</v>
      </c>
      <c r="B61">
        <v>1.444090909</v>
      </c>
      <c r="C61">
        <v>2.1989999999999998</v>
      </c>
      <c r="D61">
        <v>2.2725227270000001</v>
      </c>
      <c r="E61">
        <v>2.3794113640000001</v>
      </c>
      <c r="F61">
        <v>2.6709999999999998</v>
      </c>
      <c r="G61">
        <v>3.1126049999999998</v>
      </c>
      <c r="H61">
        <v>0.29158863600000001</v>
      </c>
      <c r="I61">
        <v>0.73319363599999998</v>
      </c>
      <c r="J61">
        <f t="shared" si="1"/>
        <v>0.4432161558130121</v>
      </c>
      <c r="K61">
        <f t="shared" si="2"/>
        <v>1.2436323266328135</v>
      </c>
      <c r="L61">
        <f>Sheet1!$B$17+Sheet1!$B$18*C61</f>
        <v>1.2735503067654967</v>
      </c>
      <c r="M61">
        <f t="shared" si="0"/>
        <v>0.65670346020918602</v>
      </c>
    </row>
    <row r="62" spans="1:13" x14ac:dyDescent="0.25">
      <c r="A62" s="1">
        <v>43465</v>
      </c>
      <c r="B62">
        <v>1.5495238099999999</v>
      </c>
      <c r="C62">
        <v>2.2669999999999999</v>
      </c>
      <c r="D62">
        <v>2.4075449999999998</v>
      </c>
      <c r="E62">
        <v>2.43045</v>
      </c>
      <c r="F62">
        <v>2.74</v>
      </c>
      <c r="G62">
        <v>3.153905263</v>
      </c>
      <c r="H62">
        <v>0.30954999999999999</v>
      </c>
      <c r="I62">
        <v>0.72345526299999996</v>
      </c>
      <c r="J62">
        <f t="shared" si="1"/>
        <v>0.44379137419141507</v>
      </c>
      <c r="K62">
        <f t="shared" si="2"/>
        <v>1.2750750452919379</v>
      </c>
      <c r="L62">
        <f>Sheet1!$B$17+Sheet1!$B$18*C62</f>
        <v>1.3046469788442718</v>
      </c>
      <c r="M62">
        <f t="shared" si="0"/>
        <v>0.68351292898103222</v>
      </c>
    </row>
    <row r="63" spans="1:13" x14ac:dyDescent="0.25">
      <c r="A63" s="1">
        <v>43496</v>
      </c>
      <c r="B63">
        <v>1.339130435</v>
      </c>
      <c r="C63">
        <v>2.4</v>
      </c>
      <c r="D63">
        <v>2.4455478259999999</v>
      </c>
      <c r="E63">
        <v>2.448756522</v>
      </c>
      <c r="F63">
        <v>2.7757142859999999</v>
      </c>
      <c r="G63">
        <v>3.0964523810000002</v>
      </c>
      <c r="H63">
        <v>0.32695776399999998</v>
      </c>
      <c r="I63">
        <v>0.64769585900000004</v>
      </c>
      <c r="J63">
        <f t="shared" si="1"/>
        <v>0.44491694701594281</v>
      </c>
      <c r="K63">
        <f t="shared" si="2"/>
        <v>1.3368006728382626</v>
      </c>
      <c r="L63">
        <f>Sheet1!$B$17+Sheet1!$B$18*C63</f>
        <v>1.3654684109983468</v>
      </c>
      <c r="M63">
        <f t="shared" si="0"/>
        <v>0.55797101458333331</v>
      </c>
    </row>
    <row r="64" spans="1:13" x14ac:dyDescent="0.25">
      <c r="A64" s="1">
        <v>43524</v>
      </c>
      <c r="B64">
        <v>1.3320000000000001</v>
      </c>
      <c r="C64">
        <v>2.4</v>
      </c>
      <c r="D64">
        <v>2.4443524999999999</v>
      </c>
      <c r="E64">
        <v>2.4456449999999998</v>
      </c>
      <c r="F64">
        <v>2.7489473680000001</v>
      </c>
      <c r="G64">
        <v>2.9100473679999999</v>
      </c>
      <c r="H64">
        <v>0.30330236799999999</v>
      </c>
      <c r="I64">
        <v>0.46440236800000001</v>
      </c>
      <c r="J64">
        <f t="shared" si="1"/>
        <v>0.44491694701594281</v>
      </c>
      <c r="K64">
        <f t="shared" si="2"/>
        <v>1.3368006728382626</v>
      </c>
      <c r="L64">
        <f>Sheet1!$B$17+Sheet1!$B$18*C64</f>
        <v>1.3654684109983468</v>
      </c>
      <c r="M64">
        <f t="shared" si="0"/>
        <v>0.55500000000000005</v>
      </c>
    </row>
    <row r="65" spans="1:13" x14ac:dyDescent="0.25">
      <c r="A65" s="1">
        <v>43555</v>
      </c>
      <c r="B65">
        <v>1.437619048</v>
      </c>
      <c r="C65">
        <v>2.4038095240000001</v>
      </c>
      <c r="D65">
        <v>2.446485714</v>
      </c>
      <c r="E65">
        <v>2.4443285709999998</v>
      </c>
      <c r="F65">
        <v>2.7371428569999998</v>
      </c>
      <c r="G65">
        <v>2.7399380949999999</v>
      </c>
      <c r="H65">
        <v>0.29281428599999998</v>
      </c>
      <c r="I65">
        <v>0.29560952400000001</v>
      </c>
      <c r="J65">
        <f t="shared" si="1"/>
        <v>0.44494919589190102</v>
      </c>
      <c r="K65">
        <f t="shared" si="2"/>
        <v>1.3385731147810933</v>
      </c>
      <c r="L65">
        <f>Sheet1!$B$17+Sheet1!$B$18*C65</f>
        <v>1.3672105215660557</v>
      </c>
      <c r="M65">
        <f t="shared" si="0"/>
        <v>0.59805863719508245</v>
      </c>
    </row>
    <row r="66" spans="1:13" x14ac:dyDescent="0.25">
      <c r="A66" s="1">
        <v>43585</v>
      </c>
      <c r="B66">
        <v>1.2785714290000001</v>
      </c>
      <c r="C66">
        <v>2.4231818180000002</v>
      </c>
      <c r="D66">
        <v>2.455645455</v>
      </c>
      <c r="E66">
        <v>2.4470136359999999</v>
      </c>
      <c r="F66">
        <v>2.7277272730000002</v>
      </c>
      <c r="G66">
        <v>2.6979428570000001</v>
      </c>
      <c r="H66">
        <v>0.28071363599999999</v>
      </c>
      <c r="I66">
        <v>0.25092922099999998</v>
      </c>
      <c r="J66">
        <f t="shared" si="1"/>
        <v>0.44511319591392101</v>
      </c>
      <c r="K66">
        <f t="shared" si="2"/>
        <v>1.3475902032904852</v>
      </c>
      <c r="L66">
        <f>Sheet1!$B$17+Sheet1!$B$18*C66</f>
        <v>1.3760695491238737</v>
      </c>
      <c r="M66">
        <f t="shared" si="0"/>
        <v>0.52764155768355969</v>
      </c>
    </row>
    <row r="67" spans="1:13" x14ac:dyDescent="0.25">
      <c r="A67" s="1">
        <v>43616</v>
      </c>
      <c r="B67">
        <v>1.355714286</v>
      </c>
      <c r="C67">
        <v>2.3927272730000002</v>
      </c>
      <c r="D67">
        <v>2.4331847830000002</v>
      </c>
      <c r="E67">
        <v>2.4188304349999998</v>
      </c>
      <c r="F67">
        <v>2.7081818179999999</v>
      </c>
      <c r="G67">
        <v>2.6586363639999999</v>
      </c>
      <c r="H67">
        <v>0.28935138300000002</v>
      </c>
      <c r="I67">
        <v>0.239805929</v>
      </c>
      <c r="J67">
        <f t="shared" ref="J67:J130" si="3">$P$11+($P$12-$P$11)/(1+EXP(-$P$13*(C67-$P$14)))</f>
        <v>0.44485538229422983</v>
      </c>
      <c r="K67">
        <f t="shared" ref="K67:K130" si="4">$P$10+J67*C67</f>
        <v>1.333417605756245</v>
      </c>
      <c r="L67">
        <f>Sheet1!$B$17+Sheet1!$B$18*C67</f>
        <v>1.3621425638419136</v>
      </c>
      <c r="M67">
        <f t="shared" ref="M67:M130" si="5">B67/C67</f>
        <v>0.56659791581687713</v>
      </c>
    </row>
    <row r="68" spans="1:13" x14ac:dyDescent="0.25">
      <c r="A68" s="1">
        <v>43646</v>
      </c>
      <c r="B68">
        <v>1.3973684209999999</v>
      </c>
      <c r="C68">
        <v>2.3755000000000002</v>
      </c>
      <c r="D68">
        <v>2.417465</v>
      </c>
      <c r="E68">
        <v>2.2654749999999999</v>
      </c>
      <c r="F68">
        <v>2.6269999999999998</v>
      </c>
      <c r="G68">
        <v>2.4326249999999998</v>
      </c>
      <c r="H68">
        <v>0.36152499999999999</v>
      </c>
      <c r="I68">
        <v>0.16714999999999999</v>
      </c>
      <c r="J68">
        <f t="shared" si="3"/>
        <v>0.44470955781303534</v>
      </c>
      <c r="K68">
        <f t="shared" si="4"/>
        <v>1.3254075545848654</v>
      </c>
      <c r="L68">
        <f>Sheet1!$B$17+Sheet1!$B$18*C68</f>
        <v>1.3542644629699647</v>
      </c>
      <c r="M68">
        <f t="shared" si="5"/>
        <v>0.58824181056619651</v>
      </c>
    </row>
    <row r="69" spans="1:13" x14ac:dyDescent="0.25">
      <c r="A69" s="1">
        <v>43677</v>
      </c>
      <c r="B69">
        <v>1.323478261</v>
      </c>
      <c r="C69">
        <v>2.402727273</v>
      </c>
      <c r="D69">
        <v>2.2690999999999999</v>
      </c>
      <c r="E69">
        <v>2.1471304349999998</v>
      </c>
      <c r="F69">
        <v>2.5690909089999998</v>
      </c>
      <c r="G69">
        <v>2.413731818</v>
      </c>
      <c r="H69">
        <v>0.42196047399999997</v>
      </c>
      <c r="I69">
        <v>0.26660138300000003</v>
      </c>
      <c r="J69">
        <f t="shared" si="3"/>
        <v>0.44494003423290179</v>
      </c>
      <c r="K69">
        <f t="shared" si="4"/>
        <v>1.3380695551009469</v>
      </c>
      <c r="L69">
        <f>Sheet1!$B$17+Sheet1!$B$18*C69</f>
        <v>1.366715603853498</v>
      </c>
      <c r="M69">
        <f t="shared" si="5"/>
        <v>0.55082333974073139</v>
      </c>
    </row>
    <row r="70" spans="1:13" x14ac:dyDescent="0.25">
      <c r="A70" s="1">
        <v>43708</v>
      </c>
      <c r="B70">
        <v>1.289090909</v>
      </c>
      <c r="C70">
        <v>2.125</v>
      </c>
      <c r="D70">
        <v>2.1462863639999998</v>
      </c>
      <c r="E70">
        <v>1.970536364</v>
      </c>
      <c r="F70">
        <v>2.3531818179999999</v>
      </c>
      <c r="G70">
        <v>2.25265</v>
      </c>
      <c r="H70">
        <v>0.38264545500000002</v>
      </c>
      <c r="I70">
        <v>0.282113636</v>
      </c>
      <c r="J70">
        <f t="shared" si="3"/>
        <v>0.44259041052622583</v>
      </c>
      <c r="K70">
        <f t="shared" si="4"/>
        <v>1.2095046223682298</v>
      </c>
      <c r="L70">
        <f>Sheet1!$B$17+Sheet1!$B$18*C70</f>
        <v>1.2397098106797713</v>
      </c>
      <c r="M70">
        <f t="shared" si="5"/>
        <v>0.60663101600000002</v>
      </c>
    </row>
    <row r="71" spans="1:13" x14ac:dyDescent="0.25">
      <c r="A71" s="1">
        <v>43738</v>
      </c>
      <c r="B71">
        <v>1.2057142860000001</v>
      </c>
      <c r="C71">
        <v>2.0525000000000002</v>
      </c>
      <c r="D71">
        <v>2.0125880949999999</v>
      </c>
      <c r="E71">
        <v>1.8947142859999999</v>
      </c>
      <c r="F71">
        <v>2.2725</v>
      </c>
      <c r="G71">
        <v>2.2898100000000001</v>
      </c>
      <c r="H71">
        <v>0.37778571399999999</v>
      </c>
      <c r="I71">
        <v>0.39509571399999999</v>
      </c>
      <c r="J71">
        <f t="shared" si="3"/>
        <v>0.44197759973458939</v>
      </c>
      <c r="K71">
        <f t="shared" si="4"/>
        <v>1.1761590234552448</v>
      </c>
      <c r="L71">
        <f>Sheet1!$B$17+Sheet1!$B$18*C71</f>
        <v>1.2065552705957829</v>
      </c>
      <c r="M71">
        <f t="shared" si="5"/>
        <v>0.58743692375152257</v>
      </c>
    </row>
    <row r="72" spans="1:13" x14ac:dyDescent="0.25">
      <c r="A72" s="1">
        <v>43769</v>
      </c>
      <c r="B72">
        <v>1.180909091</v>
      </c>
      <c r="C72">
        <v>1.83</v>
      </c>
      <c r="D72">
        <v>1.7595152169999999</v>
      </c>
      <c r="E72">
        <v>1.684757826</v>
      </c>
      <c r="F72">
        <v>2.1109523810000002</v>
      </c>
      <c r="G72">
        <v>2.1297363640000002</v>
      </c>
      <c r="H72">
        <v>0.42619455499999997</v>
      </c>
      <c r="I72">
        <v>0.44497853799999998</v>
      </c>
      <c r="J72">
        <f t="shared" si="3"/>
        <v>0.44009866831426026</v>
      </c>
      <c r="K72">
        <f t="shared" si="4"/>
        <v>1.0743805630150964</v>
      </c>
      <c r="L72">
        <f>Sheet1!$B$17+Sheet1!$B$18*C72</f>
        <v>1.1048051303380264</v>
      </c>
      <c r="M72">
        <f t="shared" si="5"/>
        <v>0.64530551420765025</v>
      </c>
    </row>
    <row r="73" spans="1:13" x14ac:dyDescent="0.25">
      <c r="A73" s="1">
        <v>43799</v>
      </c>
      <c r="B73">
        <v>1.0871428569999999</v>
      </c>
      <c r="C73">
        <v>1.552631579</v>
      </c>
      <c r="D73">
        <v>1.61677381</v>
      </c>
      <c r="E73">
        <v>1.608233333</v>
      </c>
      <c r="F73">
        <v>1.87</v>
      </c>
      <c r="G73">
        <v>2.1515210530000002</v>
      </c>
      <c r="H73">
        <v>0.26176666700000001</v>
      </c>
      <c r="I73">
        <v>0.54328771899999995</v>
      </c>
      <c r="J73">
        <f t="shared" si="3"/>
        <v>0.43776082309429287</v>
      </c>
      <c r="K73">
        <f t="shared" si="4"/>
        <v>0.94868127798523161</v>
      </c>
      <c r="L73">
        <f>Sheet1!$B$17+Sheet1!$B$18*C73</f>
        <v>0.97796344161972315</v>
      </c>
      <c r="M73">
        <f t="shared" si="5"/>
        <v>0.70019370448473917</v>
      </c>
    </row>
    <row r="74" spans="1:13" x14ac:dyDescent="0.25">
      <c r="A74" s="1">
        <v>43830</v>
      </c>
      <c r="B74">
        <v>0.96090909099999999</v>
      </c>
      <c r="C74">
        <v>1.5509523810000001</v>
      </c>
      <c r="D74">
        <v>1.6192249999999999</v>
      </c>
      <c r="E74">
        <v>1.5915818180000001</v>
      </c>
      <c r="F74">
        <v>1.884761905</v>
      </c>
      <c r="G74">
        <v>2.1519619049999998</v>
      </c>
      <c r="H74">
        <v>0.29318008699999998</v>
      </c>
      <c r="I74">
        <v>0.56038008699999997</v>
      </c>
      <c r="J74">
        <f t="shared" si="3"/>
        <v>0.43774668674729378</v>
      </c>
      <c r="K74">
        <f t="shared" si="4"/>
        <v>0.94792426608557645</v>
      </c>
      <c r="L74">
        <f>Sheet1!$B$17+Sheet1!$B$18*C74</f>
        <v>0.97719553765558587</v>
      </c>
      <c r="M74">
        <f t="shared" si="5"/>
        <v>0.61956066657600362</v>
      </c>
    </row>
    <row r="75" spans="1:13" x14ac:dyDescent="0.25">
      <c r="A75" s="1">
        <v>43861</v>
      </c>
      <c r="B75">
        <v>0.88</v>
      </c>
      <c r="C75">
        <v>1.5519047619999999</v>
      </c>
      <c r="D75">
        <v>1.5731217390000001</v>
      </c>
      <c r="E75">
        <v>1.5803086959999999</v>
      </c>
      <c r="F75">
        <v>1.846666667</v>
      </c>
      <c r="G75">
        <v>2.0391380950000002</v>
      </c>
      <c r="H75">
        <v>0.26635797100000003</v>
      </c>
      <c r="I75">
        <v>0.4588294</v>
      </c>
      <c r="J75">
        <f t="shared" si="3"/>
        <v>0.43775470435043257</v>
      </c>
      <c r="K75">
        <f t="shared" si="4"/>
        <v>0.9483536102693384</v>
      </c>
      <c r="L75">
        <f>Sheet1!$B$17+Sheet1!$B$18*C75</f>
        <v>0.97763106529751309</v>
      </c>
      <c r="M75">
        <f t="shared" si="5"/>
        <v>0.56704510582589474</v>
      </c>
    </row>
    <row r="76" spans="1:13" x14ac:dyDescent="0.25">
      <c r="A76" s="1">
        <v>43890</v>
      </c>
      <c r="B76">
        <v>0.94947368399999998</v>
      </c>
      <c r="C76">
        <v>1.583684211</v>
      </c>
      <c r="D76">
        <v>1.56728</v>
      </c>
      <c r="E76">
        <v>1.528373684</v>
      </c>
      <c r="F76">
        <v>1.848421053</v>
      </c>
      <c r="G76">
        <v>1.8835842110000001</v>
      </c>
      <c r="H76">
        <v>0.320047368</v>
      </c>
      <c r="I76">
        <v>0.35521052600000003</v>
      </c>
      <c r="J76">
        <f t="shared" si="3"/>
        <v>0.43802227920648573</v>
      </c>
      <c r="K76">
        <f t="shared" si="4"/>
        <v>0.96268896764554512</v>
      </c>
      <c r="L76">
        <f>Sheet1!$B$17+Sheet1!$B$18*C76</f>
        <v>0.99216393447982421</v>
      </c>
      <c r="M76">
        <f t="shared" si="5"/>
        <v>0.59953472883363867</v>
      </c>
    </row>
    <row r="77" spans="1:13" x14ac:dyDescent="0.25">
      <c r="A77" s="1">
        <v>43921</v>
      </c>
      <c r="B77">
        <v>0.811818182</v>
      </c>
      <c r="C77">
        <v>0.62545454499999997</v>
      </c>
      <c r="D77">
        <v>0.34681272699999999</v>
      </c>
      <c r="E77">
        <v>0.29204545500000001</v>
      </c>
      <c r="F77">
        <v>0.88727272700000004</v>
      </c>
      <c r="G77">
        <v>2.4078045449999999</v>
      </c>
      <c r="H77">
        <v>0.595227273</v>
      </c>
      <c r="I77">
        <v>2.1157590910000001</v>
      </c>
      <c r="J77">
        <f t="shared" si="3"/>
        <v>0.42999560581404517</v>
      </c>
      <c r="K77">
        <f t="shared" si="4"/>
        <v>0.53794270598642302</v>
      </c>
      <c r="L77">
        <f>Sheet1!$B$17+Sheet1!$B$18*C77</f>
        <v>0.55396167418929276</v>
      </c>
      <c r="M77">
        <f t="shared" si="5"/>
        <v>1.2979651175130562</v>
      </c>
    </row>
    <row r="78" spans="1:13" x14ac:dyDescent="0.25">
      <c r="A78" s="1">
        <v>43951</v>
      </c>
      <c r="B78">
        <v>0.59363636399999997</v>
      </c>
      <c r="C78">
        <v>4.8636364000000001E-2</v>
      </c>
      <c r="D78">
        <v>4.6913636000000002E-2</v>
      </c>
      <c r="E78">
        <v>5.9061363999999998E-2</v>
      </c>
      <c r="F78">
        <v>0.50045454499999997</v>
      </c>
      <c r="G78">
        <v>2.5224333329999999</v>
      </c>
      <c r="H78">
        <v>0.441393182</v>
      </c>
      <c r="I78">
        <v>2.4633719699999999</v>
      </c>
      <c r="J78">
        <f t="shared" si="3"/>
        <v>0.42521648068109208</v>
      </c>
      <c r="K78">
        <f t="shared" si="4"/>
        <v>0.28968098353320459</v>
      </c>
      <c r="L78">
        <f>Sheet1!$B$17+Sheet1!$B$18*C78</f>
        <v>0.29018041207704992</v>
      </c>
      <c r="M78">
        <f t="shared" si="5"/>
        <v>12.205607392855271</v>
      </c>
    </row>
    <row r="79" spans="1:13" x14ac:dyDescent="0.25">
      <c r="A79" s="1">
        <v>43982</v>
      </c>
      <c r="B79">
        <v>0.63333333300000005</v>
      </c>
      <c r="C79">
        <v>0.05</v>
      </c>
      <c r="D79">
        <v>5.6490475999999998E-2</v>
      </c>
      <c r="E79">
        <v>5.9019047999999998E-2</v>
      </c>
      <c r="F79">
        <v>0.437</v>
      </c>
      <c r="G79">
        <v>1.745285</v>
      </c>
      <c r="H79">
        <v>0.37798095199999998</v>
      </c>
      <c r="I79">
        <v>1.6862659520000001</v>
      </c>
      <c r="J79">
        <f t="shared" si="3"/>
        <v>0.42522772215217386</v>
      </c>
      <c r="K79">
        <f t="shared" si="4"/>
        <v>0.29026138610760871</v>
      </c>
      <c r="L79">
        <f>Sheet1!$B$17+Sheet1!$B$18*C79</f>
        <v>0.29080400827597364</v>
      </c>
      <c r="M79">
        <f t="shared" si="5"/>
        <v>12.666666660000001</v>
      </c>
    </row>
    <row r="80" spans="1:13" x14ac:dyDescent="0.25">
      <c r="A80" s="1">
        <v>44012</v>
      </c>
      <c r="B80">
        <v>0.56363636399999995</v>
      </c>
      <c r="C80">
        <v>7.6818181999999999E-2</v>
      </c>
      <c r="D80">
        <v>8.6559091000000005E-2</v>
      </c>
      <c r="E80">
        <v>8.0161363999999999E-2</v>
      </c>
      <c r="F80">
        <v>0.45681818200000002</v>
      </c>
      <c r="G80">
        <v>1.1536999999999999</v>
      </c>
      <c r="H80">
        <v>0.376656818</v>
      </c>
      <c r="I80">
        <v>1.0735386360000001</v>
      </c>
      <c r="J80">
        <f t="shared" si="3"/>
        <v>0.4254488624590797</v>
      </c>
      <c r="K80">
        <f t="shared" si="4"/>
        <v>0.30168220814807456</v>
      </c>
      <c r="L80">
        <f>Sheet1!$B$17+Sheet1!$B$18*C80</f>
        <v>0.30306807020836934</v>
      </c>
      <c r="M80">
        <f t="shared" si="5"/>
        <v>7.3372780938762645</v>
      </c>
    </row>
    <row r="81" spans="1:13" x14ac:dyDescent="0.25">
      <c r="A81" s="1">
        <v>44043</v>
      </c>
      <c r="B81">
        <v>0.50130434800000001</v>
      </c>
      <c r="C81">
        <v>9.3478261000000007E-2</v>
      </c>
      <c r="D81">
        <v>8.7617391000000003E-2</v>
      </c>
      <c r="E81">
        <v>8.0004348000000003E-2</v>
      </c>
      <c r="F81">
        <v>0.43347826099999998</v>
      </c>
      <c r="G81">
        <v>0.82130000000000003</v>
      </c>
      <c r="H81">
        <v>0.35347391299999997</v>
      </c>
      <c r="I81">
        <v>0.74129565200000003</v>
      </c>
      <c r="J81">
        <f t="shared" si="3"/>
        <v>0.42558629527434633</v>
      </c>
      <c r="K81">
        <f t="shared" si="4"/>
        <v>0.30878306678767842</v>
      </c>
      <c r="L81">
        <f>Sheet1!$B$17+Sheet1!$B$18*C81</f>
        <v>0.31068679099468532</v>
      </c>
      <c r="M81">
        <f t="shared" si="5"/>
        <v>5.3627906920519193</v>
      </c>
    </row>
    <row r="82" spans="1:13" x14ac:dyDescent="0.25">
      <c r="A82" s="1">
        <v>44074</v>
      </c>
      <c r="B82">
        <v>0.46285714300000003</v>
      </c>
      <c r="C82">
        <v>9.4761904999999994E-2</v>
      </c>
      <c r="D82">
        <v>8.2342857000000005E-2</v>
      </c>
      <c r="E82">
        <v>7.7128571000000007E-2</v>
      </c>
      <c r="F82">
        <v>0.40904761899999997</v>
      </c>
      <c r="G82">
        <v>0.69551904799999997</v>
      </c>
      <c r="H82">
        <v>0.33191904799999999</v>
      </c>
      <c r="I82">
        <v>0.61839047599999997</v>
      </c>
      <c r="J82">
        <f t="shared" si="3"/>
        <v>0.42559688609871199</v>
      </c>
      <c r="K82">
        <f t="shared" si="4"/>
        <v>0.30933037168878197</v>
      </c>
      <c r="L82">
        <f>Sheet1!$B$17+Sheet1!$B$18*C82</f>
        <v>0.31127380653194836</v>
      </c>
      <c r="M82">
        <f t="shared" si="5"/>
        <v>4.8844220997878844</v>
      </c>
    </row>
    <row r="83" spans="1:13" x14ac:dyDescent="0.25">
      <c r="A83" s="1">
        <v>44104</v>
      </c>
      <c r="B83">
        <v>0.41</v>
      </c>
      <c r="C83">
        <v>0.09</v>
      </c>
      <c r="D83">
        <v>7.7672726999999997E-2</v>
      </c>
      <c r="E83">
        <v>7.6431817999999999E-2</v>
      </c>
      <c r="F83">
        <v>0.40380952399999998</v>
      </c>
      <c r="G83">
        <v>0.62522381000000005</v>
      </c>
      <c r="H83">
        <v>0.32737770599999999</v>
      </c>
      <c r="I83">
        <v>0.54879199099999998</v>
      </c>
      <c r="J83">
        <f t="shared" si="3"/>
        <v>0.42555759881498312</v>
      </c>
      <c r="K83">
        <f t="shared" si="4"/>
        <v>0.30730018389334851</v>
      </c>
      <c r="L83">
        <f>Sheet1!$B$17+Sheet1!$B$18*C83</f>
        <v>0.3090961683223119</v>
      </c>
      <c r="M83">
        <f t="shared" si="5"/>
        <v>4.5555555555555554</v>
      </c>
    </row>
    <row r="84" spans="1:13" x14ac:dyDescent="0.25">
      <c r="A84" s="1">
        <v>44135</v>
      </c>
      <c r="B84">
        <v>0.35909090900000001</v>
      </c>
      <c r="C84">
        <v>0.09</v>
      </c>
      <c r="D84">
        <v>8.0023810000000001E-2</v>
      </c>
      <c r="E84">
        <v>8.2015908999999998E-2</v>
      </c>
      <c r="F84">
        <v>0.40619047600000002</v>
      </c>
      <c r="G84">
        <v>0.58755714299999995</v>
      </c>
      <c r="H84">
        <v>0.32417456700000002</v>
      </c>
      <c r="I84">
        <v>0.50554123399999995</v>
      </c>
      <c r="J84">
        <f t="shared" si="3"/>
        <v>0.42555759881498312</v>
      </c>
      <c r="K84">
        <f t="shared" si="4"/>
        <v>0.30730018389334851</v>
      </c>
      <c r="L84">
        <f>Sheet1!$B$17+Sheet1!$B$18*C84</f>
        <v>0.3090961683223119</v>
      </c>
      <c r="M84">
        <f t="shared" si="5"/>
        <v>3.9898989888888892</v>
      </c>
    </row>
    <row r="85" spans="1:13" x14ac:dyDescent="0.25">
      <c r="A85" s="1">
        <v>44165</v>
      </c>
      <c r="B85">
        <v>0.33600000000000002</v>
      </c>
      <c r="C85">
        <v>8.6842105000000003E-2</v>
      </c>
      <c r="D85">
        <v>8.1221428999999998E-2</v>
      </c>
      <c r="E85">
        <v>8.1128570999999997E-2</v>
      </c>
      <c r="F85">
        <v>0.36210526300000001</v>
      </c>
      <c r="G85">
        <v>0.52648947400000001</v>
      </c>
      <c r="H85">
        <v>0.28097669199999997</v>
      </c>
      <c r="I85">
        <v>0.445360902</v>
      </c>
      <c r="J85">
        <f t="shared" si="3"/>
        <v>0.42553154704103624</v>
      </c>
      <c r="K85">
        <f t="shared" si="4"/>
        <v>0.30595405528895014</v>
      </c>
      <c r="L85">
        <f>Sheet1!$B$17+Sheet1!$B$18*C85</f>
        <v>0.30765205030357362</v>
      </c>
      <c r="M85">
        <f t="shared" si="5"/>
        <v>3.8690909208154269</v>
      </c>
    </row>
    <row r="86" spans="1:13" x14ac:dyDescent="0.25">
      <c r="A86" s="1">
        <v>44196</v>
      </c>
      <c r="B86">
        <v>0.31565217400000001</v>
      </c>
      <c r="C86">
        <v>0.09</v>
      </c>
      <c r="D86">
        <v>7.1411364000000005E-2</v>
      </c>
      <c r="E86">
        <v>6.5195454999999999E-2</v>
      </c>
      <c r="F86">
        <v>0.33772727299999999</v>
      </c>
      <c r="G86">
        <v>0.449281818</v>
      </c>
      <c r="H86">
        <v>0.27253181799999998</v>
      </c>
      <c r="I86">
        <v>0.38408636400000001</v>
      </c>
      <c r="J86">
        <f t="shared" si="3"/>
        <v>0.42555759881498312</v>
      </c>
      <c r="K86">
        <f t="shared" si="4"/>
        <v>0.30730018389334851</v>
      </c>
      <c r="L86">
        <f>Sheet1!$B$17+Sheet1!$B$18*C86</f>
        <v>0.3090961683223119</v>
      </c>
      <c r="M86">
        <f t="shared" si="5"/>
        <v>3.5072463777777778</v>
      </c>
    </row>
    <row r="87" spans="1:13" x14ac:dyDescent="0.25">
      <c r="A87" s="1">
        <v>44227</v>
      </c>
      <c r="B87">
        <v>0.28952380999999999</v>
      </c>
      <c r="C87">
        <v>8.5263158000000006E-2</v>
      </c>
      <c r="D87">
        <v>6.6464999999999996E-2</v>
      </c>
      <c r="E87">
        <v>6.1366667E-2</v>
      </c>
      <c r="F87">
        <v>0.30947368400000003</v>
      </c>
      <c r="G87">
        <v>0.46809473699999998</v>
      </c>
      <c r="H87">
        <v>0.24810701800000001</v>
      </c>
      <c r="I87">
        <v>0.40672807</v>
      </c>
      <c r="J87">
        <f t="shared" si="3"/>
        <v>0.42551852172674504</v>
      </c>
      <c r="K87">
        <f t="shared" si="4"/>
        <v>0.30528105294991392</v>
      </c>
      <c r="L87">
        <f>Sheet1!$B$17+Sheet1!$B$18*C87</f>
        <v>0.30692999152285649</v>
      </c>
      <c r="M87">
        <f t="shared" si="5"/>
        <v>3.3956496192646299</v>
      </c>
    </row>
    <row r="88" spans="1:13" x14ac:dyDescent="0.25">
      <c r="A88" s="1">
        <v>44255</v>
      </c>
      <c r="B88">
        <v>0.27650000000000002</v>
      </c>
      <c r="C88">
        <v>7.5789473999999996E-2</v>
      </c>
      <c r="D88">
        <v>3.0928946999999998E-2</v>
      </c>
      <c r="E88">
        <v>3.7554999999999998E-2</v>
      </c>
      <c r="F88">
        <v>0.27894736799999997</v>
      </c>
      <c r="G88">
        <v>0.46978947399999998</v>
      </c>
      <c r="H88">
        <v>0.241392368</v>
      </c>
      <c r="I88">
        <v>0.43223447399999998</v>
      </c>
      <c r="J88">
        <f t="shared" si="3"/>
        <v>0.42544037779631971</v>
      </c>
      <c r="K88">
        <f t="shared" si="4"/>
        <v>0.30124390245154437</v>
      </c>
      <c r="L88">
        <f>Sheet1!$B$17+Sheet1!$B$18*C88</f>
        <v>0.30259763792394567</v>
      </c>
      <c r="M88">
        <f t="shared" si="5"/>
        <v>3.6482638736877901</v>
      </c>
    </row>
    <row r="89" spans="1:13" x14ac:dyDescent="0.25">
      <c r="A89" s="1">
        <v>44286</v>
      </c>
      <c r="B89">
        <v>0.27478260900000001</v>
      </c>
      <c r="C89">
        <v>6.9565216999999999E-2</v>
      </c>
      <c r="D89">
        <v>2.2828260999999999E-2</v>
      </c>
      <c r="E89">
        <v>2.9410434999999999E-2</v>
      </c>
      <c r="F89">
        <v>0.263043478</v>
      </c>
      <c r="G89">
        <v>0.56102608700000001</v>
      </c>
      <c r="H89">
        <v>0.23363304300000001</v>
      </c>
      <c r="I89">
        <v>0.53161565200000005</v>
      </c>
      <c r="J89">
        <f t="shared" si="3"/>
        <v>0.42538904430198266</v>
      </c>
      <c r="K89">
        <f t="shared" si="4"/>
        <v>0.29859228117629005</v>
      </c>
      <c r="L89">
        <f>Sheet1!$B$17+Sheet1!$B$18*C89</f>
        <v>0.2997512602936071</v>
      </c>
      <c r="M89">
        <f t="shared" si="5"/>
        <v>3.9500000265937505</v>
      </c>
    </row>
    <row r="90" spans="1:13" x14ac:dyDescent="0.25">
      <c r="A90" s="1">
        <v>44316</v>
      </c>
      <c r="B90">
        <v>0.275909091</v>
      </c>
      <c r="C90">
        <v>6.8636364000000005E-2</v>
      </c>
      <c r="D90">
        <v>2.0145455E-2</v>
      </c>
      <c r="E90">
        <v>2.8351818000000001E-2</v>
      </c>
      <c r="F90">
        <v>0.26</v>
      </c>
      <c r="G90">
        <v>0.56294545500000004</v>
      </c>
      <c r="H90">
        <v>0.23164818200000001</v>
      </c>
      <c r="I90">
        <v>0.53459363599999998</v>
      </c>
      <c r="J90">
        <f t="shared" si="3"/>
        <v>0.42538138425349681</v>
      </c>
      <c r="K90">
        <f t="shared" si="4"/>
        <v>0.29819663152844689</v>
      </c>
      <c r="L90">
        <f>Sheet1!$B$17+Sheet1!$B$18*C90</f>
        <v>0.29932649210021905</v>
      </c>
      <c r="M90">
        <f t="shared" si="5"/>
        <v>4.0198675296960653</v>
      </c>
    </row>
    <row r="91" spans="1:13" x14ac:dyDescent="0.25">
      <c r="A91" s="1">
        <v>44347</v>
      </c>
      <c r="B91">
        <v>0.26952380999999997</v>
      </c>
      <c r="C91">
        <v>5.9499999999999997E-2</v>
      </c>
      <c r="D91">
        <v>1.6414999999999999E-2</v>
      </c>
      <c r="E91">
        <v>2.7969500000000001E-2</v>
      </c>
      <c r="F91">
        <v>0.252</v>
      </c>
      <c r="G91">
        <v>0.52215999999999996</v>
      </c>
      <c r="H91">
        <v>0.22403049999999999</v>
      </c>
      <c r="I91">
        <v>0.49419049999999998</v>
      </c>
      <c r="J91">
        <f t="shared" si="3"/>
        <v>0.42530604568691399</v>
      </c>
      <c r="K91">
        <f t="shared" si="4"/>
        <v>0.29430570971837139</v>
      </c>
      <c r="L91">
        <f>Sheet1!$B$17+Sheet1!$B$18*C91</f>
        <v>0.29514839628697898</v>
      </c>
      <c r="M91">
        <f t="shared" si="5"/>
        <v>4.529811932773109</v>
      </c>
    </row>
    <row r="92" spans="1:13" x14ac:dyDescent="0.25">
      <c r="A92" s="1">
        <v>44377</v>
      </c>
      <c r="B92">
        <v>0.27</v>
      </c>
      <c r="C92">
        <v>7.7272726999999999E-2</v>
      </c>
      <c r="D92">
        <v>3.4004544999999997E-2</v>
      </c>
      <c r="E92">
        <v>3.7789545000000001E-2</v>
      </c>
      <c r="F92">
        <v>0.251363636</v>
      </c>
      <c r="G92">
        <v>0.51940909099999999</v>
      </c>
      <c r="H92">
        <v>0.21357409099999999</v>
      </c>
      <c r="I92">
        <v>0.48161954499999998</v>
      </c>
      <c r="J92">
        <f t="shared" si="3"/>
        <v>0.42545261154427971</v>
      </c>
      <c r="K92">
        <f t="shared" si="4"/>
        <v>0.30187588350329819</v>
      </c>
      <c r="L92">
        <f>Sheet1!$B$17+Sheet1!$B$18*C92</f>
        <v>0.30327593545557591</v>
      </c>
      <c r="M92">
        <f t="shared" si="5"/>
        <v>3.4941176593910037</v>
      </c>
    </row>
    <row r="93" spans="1:13" x14ac:dyDescent="0.25">
      <c r="A93" s="1">
        <v>44408</v>
      </c>
      <c r="B93">
        <v>0.27</v>
      </c>
      <c r="C93">
        <v>9.8571429000000002E-2</v>
      </c>
      <c r="D93">
        <v>4.7583332999999998E-2</v>
      </c>
      <c r="E93">
        <v>4.8291428999999997E-2</v>
      </c>
      <c r="F93">
        <v>0.26047619</v>
      </c>
      <c r="G93">
        <v>0.50352857100000004</v>
      </c>
      <c r="H93">
        <v>0.212184762</v>
      </c>
      <c r="I93">
        <v>0.45523714300000001</v>
      </c>
      <c r="J93">
        <f t="shared" si="3"/>
        <v>0.42562831840232285</v>
      </c>
      <c r="K93">
        <f t="shared" si="4"/>
        <v>0.31095479156778399</v>
      </c>
      <c r="L93">
        <f>Sheet1!$B$17+Sheet1!$B$18*C93</f>
        <v>0.31301591709965754</v>
      </c>
      <c r="M93">
        <f t="shared" si="5"/>
        <v>2.739130422873346</v>
      </c>
    </row>
    <row r="94" spans="1:13" x14ac:dyDescent="0.25">
      <c r="A94" s="1">
        <v>44439</v>
      </c>
      <c r="B94">
        <v>0.27363636400000002</v>
      </c>
      <c r="C94">
        <v>9.3181818E-2</v>
      </c>
      <c r="D94">
        <v>4.8836364E-2</v>
      </c>
      <c r="E94">
        <v>5.0301364000000001E-2</v>
      </c>
      <c r="F94">
        <v>0.26</v>
      </c>
      <c r="G94">
        <v>0.48675909099999998</v>
      </c>
      <c r="H94">
        <v>0.20969863599999999</v>
      </c>
      <c r="I94">
        <v>0.43645772700000002</v>
      </c>
      <c r="J94">
        <f t="shared" si="3"/>
        <v>0.42558384947930183</v>
      </c>
      <c r="K94">
        <f t="shared" si="4"/>
        <v>0.30865667680591974</v>
      </c>
      <c r="L94">
        <f>Sheet1!$B$17+Sheet1!$B$18*C94</f>
        <v>0.31055122642466992</v>
      </c>
      <c r="M94">
        <f t="shared" si="5"/>
        <v>2.9365853754860205</v>
      </c>
    </row>
    <row r="95" spans="1:13" x14ac:dyDescent="0.25">
      <c r="A95" s="1">
        <v>44469</v>
      </c>
      <c r="B95">
        <v>0.28818181799999998</v>
      </c>
      <c r="C95">
        <v>7.9047619E-2</v>
      </c>
      <c r="D95">
        <v>5.3961904999999998E-2</v>
      </c>
      <c r="E95">
        <v>5.5240952000000003E-2</v>
      </c>
      <c r="F95">
        <v>0.26</v>
      </c>
      <c r="G95">
        <v>0.42602381</v>
      </c>
      <c r="H95">
        <v>0.204759048</v>
      </c>
      <c r="I95">
        <v>0.37078285700000002</v>
      </c>
      <c r="J95">
        <f t="shared" si="3"/>
        <v>0.42546725114757283</v>
      </c>
      <c r="K95">
        <f t="shared" si="4"/>
        <v>0.30263217316569069</v>
      </c>
      <c r="L95">
        <f>Sheet1!$B$17+Sheet1!$B$18*C95</f>
        <v>0.30408760066880008</v>
      </c>
      <c r="M95">
        <f t="shared" si="5"/>
        <v>3.6456736034010078</v>
      </c>
    </row>
    <row r="96" spans="1:13" x14ac:dyDescent="0.25">
      <c r="A96" s="1">
        <v>44500</v>
      </c>
      <c r="B96">
        <v>0.28285714299999998</v>
      </c>
      <c r="C96">
        <v>7.9500000000000001E-2</v>
      </c>
      <c r="D96">
        <v>4.9292857000000002E-2</v>
      </c>
      <c r="E96">
        <v>5.1581904999999997E-2</v>
      </c>
      <c r="F96">
        <v>0.26050000000000001</v>
      </c>
      <c r="G96">
        <v>0.49668499999999999</v>
      </c>
      <c r="H96">
        <v>0.208918095</v>
      </c>
      <c r="I96">
        <v>0.445103095</v>
      </c>
      <c r="J96">
        <f t="shared" si="3"/>
        <v>0.42547098253782267</v>
      </c>
      <c r="K96">
        <f t="shared" si="4"/>
        <v>0.30282494311175689</v>
      </c>
      <c r="L96">
        <f>Sheet1!$B$17+Sheet1!$B$18*C96</f>
        <v>0.30429447631014811</v>
      </c>
      <c r="M96">
        <f t="shared" si="5"/>
        <v>3.557951484276729</v>
      </c>
    </row>
    <row r="97" spans="1:13" x14ac:dyDescent="0.25">
      <c r="A97" s="1">
        <v>44530</v>
      </c>
      <c r="B97">
        <v>0.284545455</v>
      </c>
      <c r="C97">
        <v>7.9500000000000001E-2</v>
      </c>
      <c r="D97">
        <v>4.7040908999999999E-2</v>
      </c>
      <c r="E97">
        <v>5.1190455000000003E-2</v>
      </c>
      <c r="F97">
        <v>0.27</v>
      </c>
      <c r="G97">
        <v>0.58816999999999997</v>
      </c>
      <c r="H97">
        <v>0.21880954499999999</v>
      </c>
      <c r="I97">
        <v>0.536979545</v>
      </c>
      <c r="J97">
        <f t="shared" si="3"/>
        <v>0.42547098253782267</v>
      </c>
      <c r="K97">
        <f t="shared" si="4"/>
        <v>0.30282494311175689</v>
      </c>
      <c r="L97">
        <f>Sheet1!$B$17+Sheet1!$B$18*C97</f>
        <v>0.30429447631014811</v>
      </c>
      <c r="M97">
        <f t="shared" si="5"/>
        <v>3.5791881132075472</v>
      </c>
    </row>
    <row r="98" spans="1:13" x14ac:dyDescent="0.25">
      <c r="A98" s="1">
        <v>44561</v>
      </c>
      <c r="B98">
        <v>0.28000000000000003</v>
      </c>
      <c r="C98">
        <v>7.9565216999999994E-2</v>
      </c>
      <c r="D98">
        <v>5.3690000000000002E-2</v>
      </c>
      <c r="E98">
        <v>6.7745652000000003E-2</v>
      </c>
      <c r="F98">
        <v>0.27434782600000002</v>
      </c>
      <c r="G98">
        <v>0.76053636400000002</v>
      </c>
      <c r="H98">
        <v>0.206602174</v>
      </c>
      <c r="I98">
        <v>0.692790711</v>
      </c>
      <c r="J98">
        <f t="shared" si="3"/>
        <v>0.4254715204720898</v>
      </c>
      <c r="K98">
        <f t="shared" si="4"/>
        <v>0.30285273385368178</v>
      </c>
      <c r="L98">
        <f>Sheet1!$B$17+Sheet1!$B$18*C98</f>
        <v>0.3043243003051917</v>
      </c>
      <c r="M98">
        <f t="shared" si="5"/>
        <v>3.5191257003672853</v>
      </c>
    </row>
    <row r="99" spans="1:13" x14ac:dyDescent="0.25">
      <c r="A99" s="1">
        <v>44592</v>
      </c>
      <c r="B99">
        <v>0.28476190499999998</v>
      </c>
      <c r="C99">
        <v>0.08</v>
      </c>
      <c r="D99">
        <v>5.5788095000000003E-2</v>
      </c>
      <c r="E99">
        <v>0.14639761900000001</v>
      </c>
      <c r="F99">
        <v>0.34599999999999997</v>
      </c>
      <c r="G99">
        <v>0.88632999999999995</v>
      </c>
      <c r="H99">
        <v>0.199602381</v>
      </c>
      <c r="I99">
        <v>0.73993238100000003</v>
      </c>
      <c r="J99">
        <f t="shared" si="3"/>
        <v>0.42547510674184913</v>
      </c>
      <c r="K99">
        <f t="shared" si="4"/>
        <v>0.30303800853934793</v>
      </c>
      <c r="L99">
        <f>Sheet1!$B$17+Sheet1!$B$18*C99</f>
        <v>0.30452312831072736</v>
      </c>
      <c r="M99">
        <f t="shared" si="5"/>
        <v>3.5595238124999997</v>
      </c>
    </row>
    <row r="100" spans="1:13" x14ac:dyDescent="0.25">
      <c r="A100" s="1">
        <v>44620</v>
      </c>
      <c r="B100">
        <v>0.294736842</v>
      </c>
      <c r="C100">
        <v>0.08</v>
      </c>
      <c r="D100">
        <v>0.102515789</v>
      </c>
      <c r="E100">
        <v>0.32310105300000003</v>
      </c>
      <c r="F100">
        <v>0.54842105299999999</v>
      </c>
      <c r="G100">
        <v>1.3290736839999999</v>
      </c>
      <c r="H100">
        <v>0.22531999999999999</v>
      </c>
      <c r="I100">
        <v>1.005972632</v>
      </c>
      <c r="J100">
        <f t="shared" si="3"/>
        <v>0.42547510674184913</v>
      </c>
      <c r="K100">
        <f t="shared" si="4"/>
        <v>0.30303800853934793</v>
      </c>
      <c r="L100">
        <f>Sheet1!$B$17+Sheet1!$B$18*C100</f>
        <v>0.30452312831072736</v>
      </c>
      <c r="M100">
        <f t="shared" si="5"/>
        <v>3.6842105250000001</v>
      </c>
    </row>
    <row r="101" spans="1:13" x14ac:dyDescent="0.25">
      <c r="A101" s="1">
        <v>44651</v>
      </c>
      <c r="B101">
        <v>0.30391304299999999</v>
      </c>
      <c r="C101">
        <v>0.19956521699999999</v>
      </c>
      <c r="D101">
        <v>0.28646086999999998</v>
      </c>
      <c r="E101">
        <v>0.51740869599999995</v>
      </c>
      <c r="F101">
        <v>0.686086957</v>
      </c>
      <c r="G101">
        <v>2.002504348</v>
      </c>
      <c r="H101">
        <v>0.168678261</v>
      </c>
      <c r="I101">
        <v>1.485095652</v>
      </c>
      <c r="J101">
        <f t="shared" si="3"/>
        <v>0.42646240946183667</v>
      </c>
      <c r="K101">
        <f t="shared" si="4"/>
        <v>0.3541070632865943</v>
      </c>
      <c r="L101">
        <f>Sheet1!$B$17+Sheet1!$B$18*C101</f>
        <v>0.35920078044420645</v>
      </c>
      <c r="M101">
        <f t="shared" si="5"/>
        <v>1.5228758175829809</v>
      </c>
    </row>
    <row r="102" spans="1:13" x14ac:dyDescent="0.25">
      <c r="A102" s="1">
        <v>44681</v>
      </c>
      <c r="B102">
        <v>0.32150000000000001</v>
      </c>
      <c r="C102">
        <v>0.33</v>
      </c>
      <c r="D102">
        <v>0.52879523799999995</v>
      </c>
      <c r="E102">
        <v>0.880145238</v>
      </c>
      <c r="F102">
        <v>1.0114285709999999</v>
      </c>
      <c r="G102">
        <v>2.4217550000000001</v>
      </c>
      <c r="H102">
        <v>0.131283333</v>
      </c>
      <c r="I102">
        <v>1.541609762</v>
      </c>
      <c r="J102">
        <f t="shared" si="3"/>
        <v>0.42754185383503607</v>
      </c>
      <c r="K102">
        <f t="shared" si="4"/>
        <v>0.41008881176556189</v>
      </c>
      <c r="L102">
        <f>Sheet1!$B$17+Sheet1!$B$18*C102</f>
        <v>0.41884912860034151</v>
      </c>
      <c r="M102">
        <f t="shared" si="5"/>
        <v>0.97424242424242424</v>
      </c>
    </row>
    <row r="103" spans="1:13" x14ac:dyDescent="0.25">
      <c r="A103" s="1">
        <v>44712</v>
      </c>
      <c r="B103">
        <v>0.36136363599999999</v>
      </c>
      <c r="C103">
        <v>0.75857142899999996</v>
      </c>
      <c r="D103">
        <v>0.87379809500000005</v>
      </c>
      <c r="E103">
        <v>1.2700571430000001</v>
      </c>
      <c r="F103">
        <v>1.293809524</v>
      </c>
      <c r="G103">
        <v>2.5733428570000001</v>
      </c>
      <c r="H103">
        <v>2.3752380999999999E-2</v>
      </c>
      <c r="I103">
        <v>1.303285714</v>
      </c>
      <c r="J103">
        <f t="shared" si="3"/>
        <v>0.43110479795784651</v>
      </c>
      <c r="K103">
        <f t="shared" si="4"/>
        <v>0.59602378263563993</v>
      </c>
      <c r="L103">
        <f>Sheet1!$B$17+Sheet1!$B$18*C103</f>
        <v>0.61483655786423896</v>
      </c>
      <c r="M103">
        <f t="shared" si="5"/>
        <v>0.47637390782879063</v>
      </c>
    </row>
    <row r="104" spans="1:13" x14ac:dyDescent="0.25">
      <c r="A104" s="1">
        <v>44742</v>
      </c>
      <c r="B104">
        <v>0.440952381</v>
      </c>
      <c r="C104">
        <v>1.187142857</v>
      </c>
      <c r="D104">
        <v>1.3909</v>
      </c>
      <c r="E104">
        <v>1.804170455</v>
      </c>
      <c r="F104">
        <v>1.856666667</v>
      </c>
      <c r="G104">
        <v>3.1235333330000001</v>
      </c>
      <c r="H104">
        <v>5.2496212E-2</v>
      </c>
      <c r="I104">
        <v>1.319362879</v>
      </c>
      <c r="J104">
        <f t="shared" si="3"/>
        <v>0.43468953986624081</v>
      </c>
      <c r="K104">
        <f t="shared" si="4"/>
        <v>0.78503858226482448</v>
      </c>
      <c r="L104">
        <f>Sheet1!$B$17+Sheet1!$B$18*C104</f>
        <v>0.81082398667083233</v>
      </c>
      <c r="M104">
        <f t="shared" si="5"/>
        <v>0.37144003217466187</v>
      </c>
    </row>
    <row r="105" spans="1:13" x14ac:dyDescent="0.25">
      <c r="A105" s="1">
        <v>44773</v>
      </c>
      <c r="B105">
        <v>0.56476190500000001</v>
      </c>
      <c r="C105">
        <v>1.6545000000000001</v>
      </c>
      <c r="D105">
        <v>2.061153333</v>
      </c>
      <c r="E105">
        <v>2.3957285709999998</v>
      </c>
      <c r="F105">
        <v>2.5655000000000001</v>
      </c>
      <c r="G105">
        <v>3.5436200000000002</v>
      </c>
      <c r="H105">
        <v>0.169771429</v>
      </c>
      <c r="I105">
        <v>1.147891429</v>
      </c>
      <c r="J105">
        <f t="shared" si="3"/>
        <v>0.43861880362144257</v>
      </c>
      <c r="K105">
        <f t="shared" si="4"/>
        <v>0.99469481059167675</v>
      </c>
      <c r="L105">
        <f>Sheet1!$B$17+Sheet1!$B$18*C105</f>
        <v>1.0245482781347173</v>
      </c>
      <c r="M105">
        <f t="shared" si="5"/>
        <v>0.34134899063161073</v>
      </c>
    </row>
    <row r="106" spans="1:13" x14ac:dyDescent="0.25">
      <c r="A106" s="1">
        <v>44804</v>
      </c>
      <c r="B106">
        <v>0.796956522</v>
      </c>
      <c r="C106">
        <v>2.33</v>
      </c>
      <c r="D106">
        <v>2.3467043479999998</v>
      </c>
      <c r="E106">
        <v>2.7641434779999998</v>
      </c>
      <c r="F106">
        <v>2.910869565</v>
      </c>
      <c r="G106">
        <v>3.6480130430000002</v>
      </c>
      <c r="H106">
        <v>0.14672608700000001</v>
      </c>
      <c r="I106">
        <v>0.88386956500000002</v>
      </c>
      <c r="J106">
        <f t="shared" si="3"/>
        <v>0.44432446075889254</v>
      </c>
      <c r="K106">
        <f t="shared" si="4"/>
        <v>1.3042759935682198</v>
      </c>
      <c r="L106">
        <f>Sheet1!$B$17+Sheet1!$B$18*C106</f>
        <v>1.3334571309172549</v>
      </c>
      <c r="M106">
        <f t="shared" si="5"/>
        <v>0.34204142575107294</v>
      </c>
    </row>
    <row r="107" spans="1:13" x14ac:dyDescent="0.25">
      <c r="A107" s="1">
        <v>44834</v>
      </c>
      <c r="B107">
        <v>0.94090909099999998</v>
      </c>
      <c r="C107">
        <v>2.58</v>
      </c>
      <c r="D107">
        <v>2.9126723810000001</v>
      </c>
      <c r="E107">
        <v>3.3559647620000002</v>
      </c>
      <c r="F107">
        <v>3.5438095239999998</v>
      </c>
      <c r="G107">
        <v>4.2577047620000004</v>
      </c>
      <c r="H107">
        <v>0.187844762</v>
      </c>
      <c r="I107">
        <v>0.90173999999999999</v>
      </c>
      <c r="J107">
        <f t="shared" si="3"/>
        <v>0.44644116798299632</v>
      </c>
      <c r="K107">
        <f t="shared" si="4"/>
        <v>1.4208182133961307</v>
      </c>
      <c r="L107">
        <f>Sheet1!$B$17+Sheet1!$B$18*C107</f>
        <v>1.4477831312068687</v>
      </c>
      <c r="M107">
        <f t="shared" si="5"/>
        <v>0.36469344612403098</v>
      </c>
    </row>
    <row r="108" spans="1:13" x14ac:dyDescent="0.25">
      <c r="A108" s="1">
        <v>44865</v>
      </c>
      <c r="B108">
        <v>1.099047619</v>
      </c>
      <c r="C108">
        <v>3.08</v>
      </c>
      <c r="D108">
        <v>3.4456690480000001</v>
      </c>
      <c r="E108">
        <v>3.9094752380000002</v>
      </c>
      <c r="F108">
        <v>4.1204999999999998</v>
      </c>
      <c r="G108">
        <v>5.1612650000000002</v>
      </c>
      <c r="H108">
        <v>0.211024762</v>
      </c>
      <c r="I108">
        <v>1.251789762</v>
      </c>
      <c r="J108">
        <f t="shared" si="3"/>
        <v>0.45067799538276732</v>
      </c>
      <c r="K108">
        <f t="shared" si="4"/>
        <v>1.6570882257789235</v>
      </c>
      <c r="L108">
        <f>Sheet1!$B$17+Sheet1!$B$18*C108</f>
        <v>1.6764351317860973</v>
      </c>
      <c r="M108">
        <f t="shared" si="5"/>
        <v>0.35683364253246752</v>
      </c>
    </row>
    <row r="109" spans="1:13" x14ac:dyDescent="0.25">
      <c r="A109" s="1">
        <v>44895</v>
      </c>
      <c r="B109">
        <v>1.39</v>
      </c>
      <c r="C109">
        <v>3.7549999999999999</v>
      </c>
      <c r="D109">
        <v>3.9123168179999999</v>
      </c>
      <c r="E109">
        <v>4.2817145449999998</v>
      </c>
      <c r="F109">
        <v>4.49</v>
      </c>
      <c r="G109">
        <v>5.4146700000000001</v>
      </c>
      <c r="H109">
        <v>0.20828545500000001</v>
      </c>
      <c r="I109">
        <v>1.1329554550000001</v>
      </c>
      <c r="J109">
        <f t="shared" si="3"/>
        <v>0.45639474671060487</v>
      </c>
      <c r="K109">
        <f t="shared" si="4"/>
        <v>1.982762273898321</v>
      </c>
      <c r="L109">
        <f>Sheet1!$B$17+Sheet1!$B$18*C109</f>
        <v>1.9851153325680553</v>
      </c>
      <c r="M109">
        <f t="shared" si="5"/>
        <v>0.37017310252996005</v>
      </c>
    </row>
    <row r="110" spans="1:13" x14ac:dyDescent="0.25">
      <c r="A110" s="1">
        <v>44926</v>
      </c>
      <c r="B110">
        <v>1.6677272729999999</v>
      </c>
      <c r="C110">
        <v>4.0919047620000004</v>
      </c>
      <c r="D110">
        <v>4.2897428570000002</v>
      </c>
      <c r="E110">
        <v>4.5075795239999996</v>
      </c>
      <c r="F110">
        <v>4.7061904759999997</v>
      </c>
      <c r="G110">
        <v>5.4738952379999999</v>
      </c>
      <c r="H110">
        <v>0.19861095200000001</v>
      </c>
      <c r="I110">
        <v>0.96631571400000005</v>
      </c>
      <c r="J110">
        <f t="shared" si="3"/>
        <v>0.45924217066201423</v>
      </c>
      <c r="K110">
        <f t="shared" si="4"/>
        <v>2.1481752250431128</v>
      </c>
      <c r="L110">
        <f>Sheet1!$B$17+Sheet1!$B$18*C110</f>
        <v>2.1391832282399932</v>
      </c>
      <c r="M110">
        <f t="shared" si="5"/>
        <v>0.40756747040829583</v>
      </c>
    </row>
    <row r="111" spans="1:13" x14ac:dyDescent="0.25">
      <c r="A111" s="1">
        <v>44957</v>
      </c>
      <c r="B111">
        <v>1.85</v>
      </c>
      <c r="C111">
        <v>4.33</v>
      </c>
      <c r="D111">
        <v>4.4786875000000004</v>
      </c>
      <c r="E111">
        <v>4.6420275000000002</v>
      </c>
      <c r="F111">
        <v>4.8795000000000002</v>
      </c>
      <c r="G111">
        <v>5.313885</v>
      </c>
      <c r="H111">
        <v>0.2374725</v>
      </c>
      <c r="I111">
        <v>0.6718575</v>
      </c>
      <c r="J111">
        <f t="shared" si="3"/>
        <v>0.4612505814817911</v>
      </c>
      <c r="K111">
        <f t="shared" si="4"/>
        <v>2.2662150178161555</v>
      </c>
      <c r="L111">
        <f>Sheet1!$B$17+Sheet1!$B$18*C111</f>
        <v>2.2480651332341681</v>
      </c>
      <c r="M111">
        <f t="shared" si="5"/>
        <v>0.42725173210161665</v>
      </c>
    </row>
    <row r="112" spans="1:13" x14ac:dyDescent="0.25">
      <c r="A112" s="1">
        <v>44985</v>
      </c>
      <c r="B112">
        <v>1.9704999999999999</v>
      </c>
      <c r="C112">
        <v>4.5652631579999996</v>
      </c>
      <c r="D112">
        <v>4.5788894740000003</v>
      </c>
      <c r="E112">
        <v>4.7877578950000004</v>
      </c>
      <c r="F112">
        <v>4.9968421049999998</v>
      </c>
      <c r="G112">
        <v>5.5770947370000004</v>
      </c>
      <c r="H112">
        <v>0.20908421099999999</v>
      </c>
      <c r="I112">
        <v>0.78933684199999998</v>
      </c>
      <c r="J112">
        <f t="shared" si="3"/>
        <v>0.46323112894168877</v>
      </c>
      <c r="K112">
        <f t="shared" si="4"/>
        <v>2.3837720065962391</v>
      </c>
      <c r="L112">
        <f>Sheet1!$B$17+Sheet1!$B$18*C112</f>
        <v>2.3556519167127417</v>
      </c>
      <c r="M112">
        <f t="shared" si="5"/>
        <v>0.43162900621554928</v>
      </c>
    </row>
    <row r="113" spans="1:13" x14ac:dyDescent="0.25">
      <c r="A113" s="1">
        <v>45016</v>
      </c>
      <c r="B113">
        <v>2.0639130429999999</v>
      </c>
      <c r="C113">
        <v>4.6530434779999998</v>
      </c>
      <c r="D113">
        <v>4.7622999999999998</v>
      </c>
      <c r="E113">
        <v>4.9019182609999996</v>
      </c>
      <c r="F113">
        <v>5.12</v>
      </c>
      <c r="G113">
        <v>6.2355043480000001</v>
      </c>
      <c r="H113">
        <v>0.218081739</v>
      </c>
      <c r="I113">
        <v>1.333586087</v>
      </c>
      <c r="J113">
        <f t="shared" si="3"/>
        <v>0.46396895006574218</v>
      </c>
      <c r="K113">
        <f t="shared" si="4"/>
        <v>2.4278676970979092</v>
      </c>
      <c r="L113">
        <f>Sheet1!$B$17+Sheet1!$B$18*C113</f>
        <v>2.3957942082717114</v>
      </c>
      <c r="M113">
        <f t="shared" si="5"/>
        <v>0.44356195095927275</v>
      </c>
    </row>
    <row r="114" spans="1:13" x14ac:dyDescent="0.25">
      <c r="A114" s="1">
        <v>45046</v>
      </c>
      <c r="B114">
        <v>2.2625000000000002</v>
      </c>
      <c r="C114">
        <v>4.83</v>
      </c>
      <c r="D114">
        <v>4.9135150000000003</v>
      </c>
      <c r="E114">
        <v>5.0066750000000004</v>
      </c>
      <c r="F114">
        <v>5.1319999999999997</v>
      </c>
      <c r="G114">
        <v>6.3347100000000003</v>
      </c>
      <c r="H114">
        <v>0.12532499999999999</v>
      </c>
      <c r="I114">
        <v>1.3280350000000001</v>
      </c>
      <c r="J114">
        <f t="shared" si="3"/>
        <v>0.46545421796964903</v>
      </c>
      <c r="K114">
        <f t="shared" si="4"/>
        <v>2.517143872793405</v>
      </c>
      <c r="L114">
        <f>Sheet1!$B$17+Sheet1!$B$18*C114</f>
        <v>2.4767171338133962</v>
      </c>
      <c r="M114">
        <f t="shared" si="5"/>
        <v>0.46842650103519673</v>
      </c>
    </row>
    <row r="115" spans="1:13" x14ac:dyDescent="0.25">
      <c r="A115" s="1">
        <v>45077</v>
      </c>
      <c r="B115">
        <v>2.4556521739999999</v>
      </c>
      <c r="C115">
        <v>5.0459090910000004</v>
      </c>
      <c r="D115">
        <v>5.0842363639999997</v>
      </c>
      <c r="E115">
        <v>5.1409559089999997</v>
      </c>
      <c r="F115">
        <v>5.3454545449999999</v>
      </c>
      <c r="G115">
        <v>6.3128227270000004</v>
      </c>
      <c r="H115">
        <v>0.20449863600000001</v>
      </c>
      <c r="I115">
        <v>1.171866818</v>
      </c>
      <c r="J115">
        <f t="shared" si="3"/>
        <v>0.46726226217072403</v>
      </c>
      <c r="K115">
        <f t="shared" si="4"/>
        <v>2.6267628965684819</v>
      </c>
      <c r="L115">
        <f>Sheet1!$B$17+Sheet1!$B$18*C115</f>
        <v>2.5754532250141815</v>
      </c>
      <c r="M115">
        <f t="shared" si="5"/>
        <v>0.48666199285673967</v>
      </c>
    </row>
    <row r="116" spans="1:13" x14ac:dyDescent="0.25">
      <c r="A116" s="1">
        <v>45107</v>
      </c>
      <c r="B116">
        <v>2.48</v>
      </c>
      <c r="C116">
        <v>5.0757142860000002</v>
      </c>
      <c r="D116">
        <v>5.1104309519999997</v>
      </c>
      <c r="E116">
        <v>5.232885714</v>
      </c>
      <c r="F116">
        <v>5.4752380949999999</v>
      </c>
      <c r="G116">
        <v>6.7321523809999997</v>
      </c>
      <c r="H116">
        <v>0.24235238100000001</v>
      </c>
      <c r="I116">
        <v>1.4992666670000001</v>
      </c>
      <c r="J116">
        <f t="shared" si="3"/>
        <v>0.46751146729440207</v>
      </c>
      <c r="K116">
        <f t="shared" si="4"/>
        <v>2.6419546334150188</v>
      </c>
      <c r="L116">
        <f>Sheet1!$B$17+Sheet1!$B$18*C116</f>
        <v>2.5890832599429894</v>
      </c>
      <c r="M116">
        <f t="shared" si="5"/>
        <v>0.48860118207213049</v>
      </c>
    </row>
    <row r="117" spans="1:13" x14ac:dyDescent="0.25">
      <c r="A117" s="1">
        <v>45138</v>
      </c>
      <c r="B117">
        <v>2.5819999999999999</v>
      </c>
      <c r="C117">
        <v>5.117</v>
      </c>
      <c r="D117">
        <v>5.2412652380000004</v>
      </c>
      <c r="E117">
        <v>5.3240433329999997</v>
      </c>
      <c r="F117">
        <v>5.5434999999999999</v>
      </c>
      <c r="G117">
        <v>6.9827750000000002</v>
      </c>
      <c r="H117">
        <v>0.21945666699999999</v>
      </c>
      <c r="I117">
        <v>1.6587316670000001</v>
      </c>
      <c r="J117">
        <f t="shared" si="3"/>
        <v>0.46785650041269977</v>
      </c>
      <c r="K117">
        <f t="shared" si="4"/>
        <v>2.6630217126117848</v>
      </c>
      <c r="L117">
        <f>Sheet1!$B$17+Sheet1!$B$18*C117</f>
        <v>2.607963382145873</v>
      </c>
      <c r="M117">
        <f t="shared" si="5"/>
        <v>0.5045925346882939</v>
      </c>
    </row>
    <row r="118" spans="1:13" x14ac:dyDescent="0.25">
      <c r="A118" s="1">
        <v>45169</v>
      </c>
      <c r="B118">
        <v>2.6845454549999999</v>
      </c>
      <c r="C118">
        <v>5.33</v>
      </c>
      <c r="D118">
        <v>5.3165334780000002</v>
      </c>
      <c r="E118">
        <v>5.3800565220000003</v>
      </c>
      <c r="F118">
        <v>5.5869565220000004</v>
      </c>
      <c r="G118">
        <v>6.920695652</v>
      </c>
      <c r="H118">
        <v>0.2069</v>
      </c>
      <c r="I118">
        <v>1.54063913</v>
      </c>
      <c r="J118">
        <f t="shared" si="3"/>
        <v>0.46963346219961322</v>
      </c>
      <c r="K118">
        <f t="shared" si="4"/>
        <v>2.7721463535239388</v>
      </c>
      <c r="L118">
        <f>Sheet1!$B$17+Sheet1!$B$18*C118</f>
        <v>2.7053691343926243</v>
      </c>
      <c r="M118">
        <f t="shared" si="5"/>
        <v>0.50366706472795497</v>
      </c>
    </row>
    <row r="119" spans="1:13" x14ac:dyDescent="0.25">
      <c r="A119" s="1">
        <v>45199</v>
      </c>
      <c r="B119">
        <v>2.7066666669999999</v>
      </c>
      <c r="C119">
        <v>5.33</v>
      </c>
      <c r="D119">
        <v>5.3239070000000002</v>
      </c>
      <c r="E119">
        <v>5.3946604999999996</v>
      </c>
      <c r="F119">
        <v>5.6180000000000003</v>
      </c>
      <c r="G119">
        <v>7.0103049999999998</v>
      </c>
      <c r="H119">
        <v>0.2233395</v>
      </c>
      <c r="I119">
        <v>1.6156444999999999</v>
      </c>
      <c r="J119">
        <f t="shared" si="3"/>
        <v>0.46963346219961322</v>
      </c>
      <c r="K119">
        <f t="shared" si="4"/>
        <v>2.7721463535239388</v>
      </c>
      <c r="L119">
        <f>Sheet1!$B$17+Sheet1!$B$18*C119</f>
        <v>2.7053691343926243</v>
      </c>
      <c r="M119">
        <f t="shared" si="5"/>
        <v>0.5078173859287054</v>
      </c>
    </row>
    <row r="120" spans="1:13" x14ac:dyDescent="0.25">
      <c r="A120" s="1">
        <v>45230</v>
      </c>
      <c r="B120">
        <v>2.721666667</v>
      </c>
      <c r="C120">
        <v>5.33</v>
      </c>
      <c r="D120">
        <v>5.328511905</v>
      </c>
      <c r="E120">
        <v>5.3927457140000001</v>
      </c>
      <c r="F120">
        <v>5.6352380950000001</v>
      </c>
      <c r="G120">
        <v>7.1515095239999997</v>
      </c>
      <c r="H120">
        <v>0.24249238100000001</v>
      </c>
      <c r="I120">
        <v>1.75876381</v>
      </c>
      <c r="J120">
        <f t="shared" si="3"/>
        <v>0.46963346219961322</v>
      </c>
      <c r="K120">
        <f t="shared" si="4"/>
        <v>2.7721463535239388</v>
      </c>
      <c r="L120">
        <f>Sheet1!$B$17+Sheet1!$B$18*C120</f>
        <v>2.7053691343926243</v>
      </c>
      <c r="M120">
        <f t="shared" si="5"/>
        <v>0.51063164484052537</v>
      </c>
    </row>
    <row r="121" spans="1:13" x14ac:dyDescent="0.25">
      <c r="A121" s="1">
        <v>45260</v>
      </c>
      <c r="B121">
        <v>2.7514285709999999</v>
      </c>
      <c r="C121">
        <v>5.33</v>
      </c>
      <c r="D121">
        <v>5.3303363639999999</v>
      </c>
      <c r="E121">
        <v>5.3749909090000001</v>
      </c>
      <c r="F121">
        <v>5.5757142860000002</v>
      </c>
      <c r="G121">
        <v>6.9262809519999999</v>
      </c>
      <c r="H121">
        <v>0.20072337700000001</v>
      </c>
      <c r="I121">
        <v>1.5512900430000001</v>
      </c>
      <c r="J121">
        <f t="shared" si="3"/>
        <v>0.46963346219961322</v>
      </c>
      <c r="K121">
        <f t="shared" si="4"/>
        <v>2.7721463535239388</v>
      </c>
      <c r="L121">
        <f>Sheet1!$B$17+Sheet1!$B$18*C121</f>
        <v>2.7053691343926243</v>
      </c>
      <c r="M121">
        <f t="shared" si="5"/>
        <v>0.51621549174484049</v>
      </c>
    </row>
    <row r="122" spans="1:13" x14ac:dyDescent="0.25">
      <c r="A122" s="1">
        <v>45291</v>
      </c>
      <c r="B122">
        <v>2.76</v>
      </c>
      <c r="C122">
        <v>5.33</v>
      </c>
      <c r="D122">
        <v>5.3564125000000002</v>
      </c>
      <c r="E122">
        <v>5.3625784999999997</v>
      </c>
      <c r="F122">
        <v>5.5475000000000003</v>
      </c>
      <c r="G122">
        <v>6.4390749999999999</v>
      </c>
      <c r="H122">
        <v>0.18492149999999999</v>
      </c>
      <c r="I122">
        <v>1.0764965</v>
      </c>
      <c r="J122">
        <f t="shared" si="3"/>
        <v>0.46963346219961322</v>
      </c>
      <c r="K122">
        <f t="shared" si="4"/>
        <v>2.7721463535239388</v>
      </c>
      <c r="L122">
        <f>Sheet1!$B$17+Sheet1!$B$18*C122</f>
        <v>2.7053691343926243</v>
      </c>
      <c r="M122">
        <f t="shared" si="5"/>
        <v>0.51782363977485923</v>
      </c>
    </row>
    <row r="123" spans="1:13" x14ac:dyDescent="0.25">
      <c r="A123" s="1">
        <v>45322</v>
      </c>
      <c r="B123">
        <v>2.7260869570000001</v>
      </c>
      <c r="C123">
        <v>5.33</v>
      </c>
      <c r="D123">
        <v>5.3336561900000001</v>
      </c>
      <c r="E123">
        <v>5.3177795239999996</v>
      </c>
      <c r="F123">
        <v>5.526190476</v>
      </c>
      <c r="G123">
        <v>6.1343285710000002</v>
      </c>
      <c r="H123">
        <v>0.20841095200000001</v>
      </c>
      <c r="I123">
        <v>0.81654904800000006</v>
      </c>
      <c r="J123">
        <f t="shared" si="3"/>
        <v>0.46963346219961322</v>
      </c>
      <c r="K123">
        <f t="shared" si="4"/>
        <v>2.7721463535239388</v>
      </c>
      <c r="L123">
        <f>Sheet1!$B$17+Sheet1!$B$18*C123</f>
        <v>2.7053691343926243</v>
      </c>
      <c r="M123">
        <f t="shared" si="5"/>
        <v>0.51146096754221393</v>
      </c>
    </row>
    <row r="124" spans="1:13" x14ac:dyDescent="0.25">
      <c r="A124" s="1">
        <v>45351</v>
      </c>
      <c r="B124">
        <v>2.8142857139999999</v>
      </c>
      <c r="C124">
        <v>5.33</v>
      </c>
      <c r="D124">
        <v>5.3208074999999999</v>
      </c>
      <c r="E124">
        <v>5.3230139999999997</v>
      </c>
      <c r="F124">
        <v>5.5345000000000004</v>
      </c>
      <c r="G124">
        <v>6.2209250000000003</v>
      </c>
      <c r="H124">
        <v>0.21148600000000001</v>
      </c>
      <c r="I124">
        <v>0.89791100000000001</v>
      </c>
      <c r="J124">
        <f t="shared" si="3"/>
        <v>0.46963346219961322</v>
      </c>
      <c r="K124">
        <f t="shared" si="4"/>
        <v>2.7721463535239388</v>
      </c>
      <c r="L124">
        <f>Sheet1!$B$17+Sheet1!$B$18*C124</f>
        <v>2.7053691343926243</v>
      </c>
      <c r="M124">
        <f t="shared" si="5"/>
        <v>0.52800857673545964</v>
      </c>
    </row>
    <row r="125" spans="1:13" x14ac:dyDescent="0.25">
      <c r="A125" s="1">
        <v>45382</v>
      </c>
      <c r="B125">
        <v>2.9014285709999998</v>
      </c>
      <c r="C125">
        <v>5.33</v>
      </c>
      <c r="D125">
        <v>5.3261124999999998</v>
      </c>
      <c r="E125">
        <v>5.3204619050000002</v>
      </c>
      <c r="F125">
        <v>5.5295238099999997</v>
      </c>
      <c r="G125">
        <v>6.1947749999999999</v>
      </c>
      <c r="H125">
        <v>0.20906190499999999</v>
      </c>
      <c r="I125">
        <v>0.87431309499999998</v>
      </c>
      <c r="J125">
        <f t="shared" si="3"/>
        <v>0.46963346219961322</v>
      </c>
      <c r="K125">
        <f t="shared" si="4"/>
        <v>2.7721463535239388</v>
      </c>
      <c r="L125">
        <f>Sheet1!$B$17+Sheet1!$B$18*C125</f>
        <v>2.7053691343926243</v>
      </c>
      <c r="M125">
        <f t="shared" si="5"/>
        <v>0.54435808086303938</v>
      </c>
    </row>
    <row r="126" spans="1:13" x14ac:dyDescent="0.25">
      <c r="A126" s="1">
        <v>45412</v>
      </c>
      <c r="B126">
        <v>2.91</v>
      </c>
      <c r="C126">
        <v>5.33</v>
      </c>
      <c r="D126">
        <v>5.3188486360000002</v>
      </c>
      <c r="E126">
        <v>5.3188500000000003</v>
      </c>
      <c r="F126">
        <v>5.5395454549999998</v>
      </c>
      <c r="G126">
        <v>6.2830545449999997</v>
      </c>
      <c r="H126">
        <v>0.22069545500000001</v>
      </c>
      <c r="I126">
        <v>0.96420454499999997</v>
      </c>
      <c r="J126">
        <f t="shared" si="3"/>
        <v>0.46963346219961322</v>
      </c>
      <c r="K126">
        <f t="shared" si="4"/>
        <v>2.7721463535239388</v>
      </c>
      <c r="L126">
        <f>Sheet1!$B$17+Sheet1!$B$18*C126</f>
        <v>2.7053691343926243</v>
      </c>
      <c r="M126">
        <f t="shared" si="5"/>
        <v>0.54596622889305813</v>
      </c>
    </row>
    <row r="127" spans="1:13" x14ac:dyDescent="0.25">
      <c r="A127" s="1">
        <v>45443</v>
      </c>
      <c r="B127">
        <v>2.91</v>
      </c>
      <c r="C127">
        <v>5.33</v>
      </c>
      <c r="D127">
        <v>5.3225181819999996</v>
      </c>
      <c r="E127">
        <v>5.3323227270000002</v>
      </c>
      <c r="F127">
        <v>5.546818182</v>
      </c>
      <c r="G127">
        <v>6.2080636360000003</v>
      </c>
      <c r="H127">
        <v>0.214495455</v>
      </c>
      <c r="I127">
        <v>0.87574090900000001</v>
      </c>
      <c r="J127">
        <f t="shared" si="3"/>
        <v>0.46963346219961322</v>
      </c>
      <c r="K127">
        <f t="shared" si="4"/>
        <v>2.7721463535239388</v>
      </c>
      <c r="L127">
        <f>Sheet1!$B$17+Sheet1!$B$18*C127</f>
        <v>2.7053691343926243</v>
      </c>
      <c r="M127">
        <f t="shared" si="5"/>
        <v>0.54596622889305813</v>
      </c>
    </row>
    <row r="128" spans="1:13" x14ac:dyDescent="0.25">
      <c r="A128" s="1">
        <v>45473</v>
      </c>
      <c r="B128">
        <v>2.91</v>
      </c>
      <c r="C128">
        <v>5.33</v>
      </c>
      <c r="D128">
        <v>5.3366974999999996</v>
      </c>
      <c r="E128">
        <v>5.340592</v>
      </c>
      <c r="F128">
        <v>5.54</v>
      </c>
      <c r="G128">
        <v>6.1417421049999996</v>
      </c>
      <c r="H128">
        <v>0.199408</v>
      </c>
      <c r="I128">
        <v>0.80115010499999995</v>
      </c>
      <c r="J128">
        <f t="shared" si="3"/>
        <v>0.46963346219961322</v>
      </c>
      <c r="K128">
        <f t="shared" si="4"/>
        <v>2.7721463535239388</v>
      </c>
      <c r="L128">
        <f>Sheet1!$B$17+Sheet1!$B$18*C128</f>
        <v>2.7053691343926243</v>
      </c>
      <c r="M128">
        <f t="shared" si="5"/>
        <v>0.54596622889305813</v>
      </c>
    </row>
    <row r="129" spans="1:13" x14ac:dyDescent="0.25">
      <c r="A129" s="1">
        <v>45504</v>
      </c>
      <c r="B129">
        <v>2.9121739130000002</v>
      </c>
      <c r="C129">
        <v>5.33</v>
      </c>
      <c r="D129">
        <v>5.3376743480000002</v>
      </c>
      <c r="E129">
        <v>5.284970435</v>
      </c>
      <c r="F129">
        <v>5.5268181820000004</v>
      </c>
      <c r="G129">
        <v>5.9542999999999999</v>
      </c>
      <c r="H129">
        <v>0.241847747</v>
      </c>
      <c r="I129">
        <v>0.66932956499999996</v>
      </c>
      <c r="J129">
        <f t="shared" si="3"/>
        <v>0.46963346219961322</v>
      </c>
      <c r="K129">
        <f t="shared" si="4"/>
        <v>2.7721463535239388</v>
      </c>
      <c r="L129">
        <f>Sheet1!$B$17+Sheet1!$B$18*C129</f>
        <v>2.7053691343926243</v>
      </c>
      <c r="M129">
        <f t="shared" si="5"/>
        <v>0.54637409249530955</v>
      </c>
    </row>
    <row r="130" spans="1:13" x14ac:dyDescent="0.25">
      <c r="A130" s="1">
        <v>45535</v>
      </c>
      <c r="B130">
        <v>2.901818182</v>
      </c>
      <c r="C130">
        <v>5.33</v>
      </c>
      <c r="D130">
        <v>5.3007295450000003</v>
      </c>
      <c r="E130">
        <v>5.1009627269999998</v>
      </c>
      <c r="F130">
        <v>5.38</v>
      </c>
      <c r="G130">
        <v>5.6118818179999996</v>
      </c>
      <c r="H130">
        <v>0.27903727299999997</v>
      </c>
      <c r="I130">
        <v>0.51091909099999999</v>
      </c>
      <c r="J130">
        <f t="shared" si="3"/>
        <v>0.46963346219961322</v>
      </c>
      <c r="K130">
        <f t="shared" si="4"/>
        <v>2.7721463535239388</v>
      </c>
      <c r="L130">
        <f>Sheet1!$B$17+Sheet1!$B$18*C130</f>
        <v>2.7053691343926243</v>
      </c>
      <c r="M130">
        <f t="shared" si="5"/>
        <v>0.54443117861163226</v>
      </c>
    </row>
    <row r="131" spans="1:13" x14ac:dyDescent="0.25">
      <c r="A131" s="1">
        <v>45565</v>
      </c>
      <c r="B131">
        <v>2.8642857140000002</v>
      </c>
      <c r="C131">
        <v>5.13</v>
      </c>
      <c r="D131">
        <v>4.9816700000000003</v>
      </c>
      <c r="E131">
        <v>4.8000080000000001</v>
      </c>
      <c r="F131">
        <v>5.0875000000000004</v>
      </c>
      <c r="G131">
        <v>5.2629950000000001</v>
      </c>
      <c r="H131">
        <v>0.28749200000000003</v>
      </c>
      <c r="I131">
        <v>0.46298699999999998</v>
      </c>
      <c r="J131">
        <f t="shared" ref="J131:J137" si="6">$P$11+($P$12-$P$11)/(1+EXP(-$P$13*(C131-$P$14)))</f>
        <v>0.46796510457238616</v>
      </c>
      <c r="K131">
        <f t="shared" ref="K131:K137" si="7">$P$10+J131*C131</f>
        <v>2.669660986456341</v>
      </c>
      <c r="L131">
        <f>Sheet1!$B$17+Sheet1!$B$18*C131</f>
        <v>2.613908334160933</v>
      </c>
      <c r="M131">
        <f t="shared" ref="M131:M137" si="8">B131/C131</f>
        <v>0.55834029512670569</v>
      </c>
    </row>
    <row r="132" spans="1:13" x14ac:dyDescent="0.25">
      <c r="A132" s="1">
        <v>45596</v>
      </c>
      <c r="B132">
        <v>2.7530434779999999</v>
      </c>
      <c r="C132">
        <v>4.83</v>
      </c>
      <c r="D132">
        <v>4.7686847830000003</v>
      </c>
      <c r="E132">
        <v>4.625013043</v>
      </c>
      <c r="F132">
        <v>4.8172727269999998</v>
      </c>
      <c r="G132">
        <v>5.3336454550000001</v>
      </c>
      <c r="H132">
        <v>0.19225968399999999</v>
      </c>
      <c r="I132">
        <v>0.70863241099999996</v>
      </c>
      <c r="J132">
        <f t="shared" si="6"/>
        <v>0.46545421796964903</v>
      </c>
      <c r="K132">
        <f t="shared" si="7"/>
        <v>2.517143872793405</v>
      </c>
      <c r="L132">
        <f>Sheet1!$B$17+Sheet1!$B$18*C132</f>
        <v>2.4767171338133962</v>
      </c>
      <c r="M132">
        <f t="shared" si="8"/>
        <v>0.56998829772256732</v>
      </c>
    </row>
    <row r="133" spans="1:13" x14ac:dyDescent="0.25">
      <c r="A133" s="1">
        <v>45626</v>
      </c>
      <c r="B133">
        <v>2.6361904759999999</v>
      </c>
      <c r="C133">
        <v>4.6457894739999999</v>
      </c>
      <c r="D133">
        <v>4.5899080000000003</v>
      </c>
      <c r="E133">
        <v>4.5118452380000003</v>
      </c>
      <c r="F133">
        <v>4.696842105</v>
      </c>
      <c r="G133">
        <v>5.3305684209999997</v>
      </c>
      <c r="H133">
        <v>0.18499686700000001</v>
      </c>
      <c r="I133">
        <v>0.81872318300000002</v>
      </c>
      <c r="J133">
        <f t="shared" si="6"/>
        <v>0.46390800322511616</v>
      </c>
      <c r="K133">
        <f t="shared" si="7"/>
        <v>2.4242189182876026</v>
      </c>
      <c r="L133">
        <f>Sheet1!$B$17+Sheet1!$B$18*C133</f>
        <v>2.392476923218092</v>
      </c>
      <c r="M133">
        <f t="shared" si="8"/>
        <v>0.56743649077370995</v>
      </c>
    </row>
    <row r="134" spans="1:13" x14ac:dyDescent="0.25">
      <c r="A134" s="1">
        <v>45657</v>
      </c>
      <c r="B134">
        <v>2.5554545449999999</v>
      </c>
      <c r="C134">
        <v>4.484761905</v>
      </c>
      <c r="D134">
        <v>4.4043761899999998</v>
      </c>
      <c r="E134">
        <v>4.3649742859999998</v>
      </c>
      <c r="F134">
        <v>4.5728571430000002</v>
      </c>
      <c r="G134">
        <v>5.2141190479999997</v>
      </c>
      <c r="H134">
        <v>0.207882857</v>
      </c>
      <c r="I134">
        <v>0.849144762</v>
      </c>
      <c r="J134">
        <f t="shared" si="6"/>
        <v>0.46255392207725377</v>
      </c>
      <c r="K134">
        <f t="shared" si="7"/>
        <v>2.3434442087404062</v>
      </c>
      <c r="L134">
        <f>Sheet1!$B$17+Sheet1!$B$18*C134</f>
        <v>2.3188383716175727</v>
      </c>
      <c r="M134">
        <f t="shared" si="8"/>
        <v>0.56980829732587557</v>
      </c>
    </row>
    <row r="135" spans="1:13" x14ac:dyDescent="0.25">
      <c r="A135" s="1">
        <v>45688</v>
      </c>
      <c r="B135">
        <v>2.5680000000000001</v>
      </c>
      <c r="C135">
        <v>4.33</v>
      </c>
      <c r="D135">
        <v>4.3079990910000001</v>
      </c>
      <c r="E135">
        <v>4.29697</v>
      </c>
      <c r="F135">
        <v>4.4885714290000003</v>
      </c>
      <c r="G135">
        <v>5.1753285709999997</v>
      </c>
      <c r="H135">
        <v>0.19160142899999999</v>
      </c>
      <c r="I135">
        <v>0.87835857100000003</v>
      </c>
      <c r="J135">
        <f t="shared" si="6"/>
        <v>0.4612505814817911</v>
      </c>
      <c r="K135">
        <f t="shared" si="7"/>
        <v>2.2662150178161555</v>
      </c>
      <c r="L135">
        <f>Sheet1!$B$17+Sheet1!$B$18*C135</f>
        <v>2.2480651332341681</v>
      </c>
      <c r="M135">
        <f t="shared" si="8"/>
        <v>0.59307159353348726</v>
      </c>
    </row>
    <row r="136" spans="1:13" x14ac:dyDescent="0.25">
      <c r="A136" s="1">
        <v>45716</v>
      </c>
      <c r="B136">
        <v>2.5099999999999998</v>
      </c>
      <c r="C136">
        <v>4.33</v>
      </c>
      <c r="D136">
        <v>4.3184374999999999</v>
      </c>
      <c r="E136">
        <v>4.3172294999999998</v>
      </c>
      <c r="F136">
        <v>4.4994736839999998</v>
      </c>
      <c r="G136">
        <v>5.0497473680000002</v>
      </c>
      <c r="H136">
        <v>0.182244184</v>
      </c>
      <c r="I136">
        <v>0.73251786799999996</v>
      </c>
      <c r="J136">
        <f t="shared" si="6"/>
        <v>0.4612505814817911</v>
      </c>
      <c r="K136">
        <f t="shared" si="7"/>
        <v>2.2662150178161555</v>
      </c>
      <c r="L136">
        <f>Sheet1!$B$17+Sheet1!$B$18*C136</f>
        <v>2.2480651332341681</v>
      </c>
      <c r="M136">
        <f t="shared" si="8"/>
        <v>0.57967667436489601</v>
      </c>
    </row>
    <row r="137" spans="1:13" x14ac:dyDescent="0.25">
      <c r="A137" s="1">
        <v>45747</v>
      </c>
      <c r="B137">
        <v>2.4950000000000001</v>
      </c>
      <c r="C137">
        <v>4.33</v>
      </c>
      <c r="D137">
        <v>4.322760476</v>
      </c>
      <c r="E137">
        <v>4.2990257139999999</v>
      </c>
      <c r="F137">
        <v>4.4823809519999998</v>
      </c>
      <c r="G137">
        <v>5.0178857140000002</v>
      </c>
      <c r="H137">
        <v>0.183355238</v>
      </c>
      <c r="I137">
        <v>0.71886000000000005</v>
      </c>
      <c r="J137">
        <f t="shared" si="6"/>
        <v>0.4612505814817911</v>
      </c>
      <c r="K137">
        <f t="shared" si="7"/>
        <v>2.2662150178161555</v>
      </c>
      <c r="L137">
        <f>Sheet1!$B$17+Sheet1!$B$18*C137</f>
        <v>2.2480651332341681</v>
      </c>
      <c r="M137">
        <f t="shared" si="8"/>
        <v>0.57621247113163976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56A2-3CF4-40A6-BFE9-7EBCF08D9311}">
  <dimension ref="A1:I18"/>
  <sheetViews>
    <sheetView workbookViewId="0">
      <selection sqref="A1:I21"/>
    </sheetView>
  </sheetViews>
  <sheetFormatPr defaultRowHeight="15" x14ac:dyDescent="0.25"/>
  <sheetData>
    <row r="1" spans="1:9" x14ac:dyDescent="0.25">
      <c r="A1" t="s">
        <v>24</v>
      </c>
    </row>
    <row r="2" spans="1:9" ht="15.75" thickBot="1" x14ac:dyDescent="0.3"/>
    <row r="3" spans="1:9" x14ac:dyDescent="0.25">
      <c r="A3" s="9" t="s">
        <v>25</v>
      </c>
      <c r="B3" s="9"/>
    </row>
    <row r="4" spans="1:9" x14ac:dyDescent="0.25">
      <c r="A4" s="6" t="s">
        <v>26</v>
      </c>
      <c r="B4" s="6">
        <v>0.97745079920762967</v>
      </c>
    </row>
    <row r="5" spans="1:9" x14ac:dyDescent="0.25">
      <c r="A5" s="6" t="s">
        <v>27</v>
      </c>
      <c r="B5" s="6">
        <v>0.95541006487163394</v>
      </c>
    </row>
    <row r="6" spans="1:9" x14ac:dyDescent="0.25">
      <c r="A6" s="6" t="s">
        <v>28</v>
      </c>
      <c r="B6" s="6">
        <v>0.95500098289797919</v>
      </c>
    </row>
    <row r="7" spans="1:9" x14ac:dyDescent="0.25">
      <c r="A7" s="6" t="s">
        <v>29</v>
      </c>
      <c r="B7" s="6">
        <v>0.18869731513702501</v>
      </c>
    </row>
    <row r="8" spans="1:9" ht="15.75" thickBot="1" x14ac:dyDescent="0.3">
      <c r="A8" s="7" t="s">
        <v>30</v>
      </c>
      <c r="B8" s="7">
        <v>111</v>
      </c>
    </row>
    <row r="10" spans="1:9" ht="15.75" thickBot="1" x14ac:dyDescent="0.3">
      <c r="A10" t="s">
        <v>31</v>
      </c>
    </row>
    <row r="11" spans="1:9" x14ac:dyDescent="0.25">
      <c r="A11" s="8"/>
      <c r="B11" s="8" t="s">
        <v>36</v>
      </c>
      <c r="C11" s="8" t="s">
        <v>37</v>
      </c>
      <c r="D11" s="8" t="s">
        <v>38</v>
      </c>
      <c r="E11" s="8" t="s">
        <v>39</v>
      </c>
      <c r="F11" s="8" t="s">
        <v>40</v>
      </c>
    </row>
    <row r="12" spans="1:9" x14ac:dyDescent="0.25">
      <c r="A12" s="6" t="s">
        <v>32</v>
      </c>
      <c r="B12" s="6">
        <v>1</v>
      </c>
      <c r="C12" s="6">
        <v>83.159316530197302</v>
      </c>
      <c r="D12" s="6">
        <v>83.159316530197302</v>
      </c>
      <c r="E12" s="6">
        <v>2335.4978375996602</v>
      </c>
      <c r="F12" s="6">
        <v>1.8852164673394989E-75</v>
      </c>
    </row>
    <row r="13" spans="1:9" x14ac:dyDescent="0.25">
      <c r="A13" s="6" t="s">
        <v>33</v>
      </c>
      <c r="B13" s="6">
        <v>109</v>
      </c>
      <c r="C13" s="6">
        <v>3.8811277646514677</v>
      </c>
      <c r="D13" s="6">
        <v>3.5606676739921725E-2</v>
      </c>
      <c r="E13" s="6"/>
      <c r="F13" s="6"/>
    </row>
    <row r="14" spans="1:9" ht="15.75" thickBot="1" x14ac:dyDescent="0.3">
      <c r="A14" s="7" t="s">
        <v>34</v>
      </c>
      <c r="B14" s="7">
        <v>110</v>
      </c>
      <c r="C14" s="7">
        <v>87.040444294848768</v>
      </c>
      <c r="D14" s="7"/>
      <c r="E14" s="7"/>
      <c r="F14" s="7"/>
    </row>
    <row r="15" spans="1:9" ht="15.75" thickBot="1" x14ac:dyDescent="0.3"/>
    <row r="16" spans="1:9" x14ac:dyDescent="0.25">
      <c r="A16" s="8"/>
      <c r="B16" s="8" t="s">
        <v>41</v>
      </c>
      <c r="C16" s="8" t="s">
        <v>29</v>
      </c>
      <c r="D16" s="8" t="s">
        <v>42</v>
      </c>
      <c r="E16" s="8" t="s">
        <v>43</v>
      </c>
      <c r="F16" s="8" t="s">
        <v>44</v>
      </c>
      <c r="G16" s="8" t="s">
        <v>45</v>
      </c>
      <c r="H16" s="8" t="s">
        <v>46</v>
      </c>
      <c r="I16" s="8" t="s">
        <v>47</v>
      </c>
    </row>
    <row r="17" spans="1:9" x14ac:dyDescent="0.25">
      <c r="A17" s="6" t="s">
        <v>35</v>
      </c>
      <c r="B17" s="6">
        <v>0.26793880821805083</v>
      </c>
      <c r="C17" s="6">
        <v>2.6255115128990217E-2</v>
      </c>
      <c r="D17" s="6">
        <v>10.205204086962839</v>
      </c>
      <c r="E17" s="6">
        <v>1.4473038704760854E-17</v>
      </c>
      <c r="F17" s="6">
        <v>0.21590202359310365</v>
      </c>
      <c r="G17" s="6">
        <v>0.31997559284299798</v>
      </c>
      <c r="H17" s="6">
        <v>0.21590202359310365</v>
      </c>
      <c r="I17" s="6">
        <v>0.31997559284299798</v>
      </c>
    </row>
    <row r="18" spans="1:9" ht="15.75" thickBot="1" x14ac:dyDescent="0.3">
      <c r="A18" s="7" t="s">
        <v>48</v>
      </c>
      <c r="B18" s="7">
        <v>0.4573040011584566</v>
      </c>
      <c r="C18" s="7">
        <v>9.4627042442050509E-3</v>
      </c>
      <c r="D18" s="7">
        <v>48.326988708170717</v>
      </c>
      <c r="E18" s="7">
        <v>1.8852164673395522E-75</v>
      </c>
      <c r="F18" s="7">
        <v>0.43854922898145071</v>
      </c>
      <c r="G18" s="7">
        <v>0.47605877333546248</v>
      </c>
      <c r="H18" s="7">
        <v>0.43854922898145071</v>
      </c>
      <c r="I18" s="7">
        <v>0.47605877333546248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bankratemma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Chih Chen</dc:creator>
  <cp:lastModifiedBy>Chih Chen</cp:lastModifiedBy>
  <dcterms:created xsi:type="dcterms:W3CDTF">2025-07-10T21:16:25Z</dcterms:created>
  <dcterms:modified xsi:type="dcterms:W3CDTF">2025-07-10T21:25:07Z</dcterms:modified>
</cp:coreProperties>
</file>